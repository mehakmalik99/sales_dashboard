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2292067C-5308-47C3-9086-4495C37FA4B8}" xr6:coauthVersionLast="47" xr6:coauthVersionMax="47" xr10:uidLastSave="{00000000-0000-0000-0000-000000000000}"/>
  <bookViews>
    <workbookView xWindow="-108" yWindow="-108" windowWidth="23256" windowHeight="12456" activeTab="2" xr2:uid="{00000000-000D-0000-FFFF-FFFF00000000}"/>
  </bookViews>
  <sheets>
    <sheet name="Data" sheetId="3" r:id="rId1"/>
    <sheet name="REAL DATA" sheetId="5" r:id="rId2"/>
    <sheet name="Sheet1" sheetId="7" r:id="rId3"/>
  </sheets>
  <definedNames>
    <definedName name="_xlcn.WorksheetConnection_deliveries.csvA1N180791">Data!$A$1:$O$18079</definedName>
    <definedName name="Slicer_Month">#N/A</definedName>
    <definedName name="Slicer_Quarter">#N/A</definedName>
    <definedName name="Slicer_Region">#N/A</definedName>
  </definedNames>
  <calcPr calcId="191029"/>
  <pivotCaches>
    <pivotCache cacheId="5" r:id="rId4"/>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9w3AmADzuB96Tn8jZpIzzH3pylsTyGHscU8jvS1zn48="/>
    </ext>
  </extLst>
</workbook>
</file>

<file path=xl/calcChain.xml><?xml version="1.0" encoding="utf-8"?>
<calcChain xmlns="http://schemas.openxmlformats.org/spreadsheetml/2006/main">
  <c r="F16" i="5" l="1"/>
  <c r="F13" i="5"/>
  <c r="F4" i="5"/>
  <c r="F15" i="5"/>
  <c r="F9" i="5"/>
  <c r="F6" i="5"/>
  <c r="F12" i="5"/>
  <c r="F5" i="5"/>
</calcChain>
</file>

<file path=xl/sharedStrings.xml><?xml version="1.0" encoding="utf-8"?>
<sst xmlns="http://schemas.openxmlformats.org/spreadsheetml/2006/main" count="179" uniqueCount="46">
  <si>
    <t>Month</t>
  </si>
  <si>
    <t>Region</t>
  </si>
  <si>
    <t>Sales</t>
  </si>
  <si>
    <t>Profit</t>
  </si>
  <si>
    <t>Target Sales</t>
  </si>
  <si>
    <t>Customers</t>
  </si>
  <si>
    <t>Quarter</t>
  </si>
  <si>
    <t>Sales Completion Rate</t>
  </si>
  <si>
    <t>Profit Completion Rate</t>
  </si>
  <si>
    <t>Customer Completion Rate</t>
  </si>
  <si>
    <t>Argentina</t>
  </si>
  <si>
    <t>Quarter 1</t>
  </si>
  <si>
    <t>Brazil</t>
  </si>
  <si>
    <t>Chicaco</t>
  </si>
  <si>
    <t>Chile</t>
  </si>
  <si>
    <t>Columbia</t>
  </si>
  <si>
    <t>Los Angeles</t>
  </si>
  <si>
    <t>Peru</t>
  </si>
  <si>
    <t>Quarter 2</t>
  </si>
  <si>
    <t>Quarter 3</t>
  </si>
  <si>
    <t>Headers</t>
  </si>
  <si>
    <t>Sales Completion</t>
  </si>
  <si>
    <t>Sales Incompletion</t>
  </si>
  <si>
    <t>Profit Completion</t>
  </si>
  <si>
    <t>Profit Incompletion</t>
  </si>
  <si>
    <t>Customer Completion</t>
  </si>
  <si>
    <t>Customer Incompletion</t>
  </si>
  <si>
    <t>Sum of Sales</t>
  </si>
  <si>
    <t>Row Labels</t>
  </si>
  <si>
    <t>Grand Total</t>
  </si>
  <si>
    <t>Sum of Profit</t>
  </si>
  <si>
    <t>Sum of Customers</t>
  </si>
  <si>
    <t>Values</t>
  </si>
  <si>
    <t>Average of Sales Completion Rate</t>
  </si>
  <si>
    <t>Average of Profit Completion Rate</t>
  </si>
  <si>
    <t>Average of Customer Completion Rate</t>
  </si>
  <si>
    <t>Jan</t>
  </si>
  <si>
    <t>Feb</t>
  </si>
  <si>
    <t>Mar</t>
  </si>
  <si>
    <t>Sum of Target Sales</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</si>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</sst>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
    <numFmt numFmtId="165" formatCode="&quot;₹&quot;\ #,##0"/>
  </numFmts>
  <fonts count="5" x14ac:knownFonts="1">
    <font>
      <sz val="12"/>
      <color theme="1"/>
      <name val="Calibri"/>
      <scheme val="minor"/>
    </font>
    <font>
      <sz val="12"/>
      <color theme="1"/>
      <name val="Calibri"/>
      <family val="2"/>
    </font>
    <font>
      <sz val="12"/>
      <color theme="1"/>
      <name val="Calibri"/>
      <family val="2"/>
    </font>
    <font>
      <sz val="12"/>
      <color theme="2"/>
      <name val="Calibri"/>
      <family val="2"/>
    </font>
    <font>
      <b/>
      <sz val="12"/>
      <color theme="2"/>
      <name val="Calibri"/>
      <family val="2"/>
    </font>
  </fonts>
  <fills count="7">
    <fill>
      <patternFill patternType="none"/>
    </fill>
    <fill>
      <patternFill patternType="gray125"/>
    </fill>
    <fill>
      <patternFill patternType="solid">
        <fgColor rgb="FF7030A0"/>
        <bgColor indexed="64"/>
      </patternFill>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theme="3" tint="4.9989318521683403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style="thin">
        <color rgb="FFABABAB"/>
      </right>
      <top style="thin">
        <color indexed="65"/>
      </top>
      <bottom style="thin">
        <color rgb="FFABABAB"/>
      </bottom>
      <diagonal/>
    </border>
    <border>
      <left/>
      <right style="thin">
        <color rgb="FFABABAB"/>
      </right>
      <top style="thin">
        <color indexed="65"/>
      </top>
      <bottom/>
      <diagonal/>
    </border>
  </borders>
  <cellStyleXfs count="1">
    <xf numFmtId="0" fontId="0" fillId="0" borderId="0"/>
  </cellStyleXfs>
  <cellXfs count="44">
    <xf numFmtId="0" fontId="0" fillId="0" borderId="0" xfId="0"/>
    <xf numFmtId="1" fontId="2" fillId="0" borderId="0" xfId="0" applyNumberFormat="1" applyFont="1"/>
    <xf numFmtId="9" fontId="2" fillId="0" borderId="1" xfId="0" applyNumberFormat="1" applyFont="1" applyBorder="1"/>
    <xf numFmtId="4" fontId="0" fillId="0" borderId="0" xfId="0" applyNumberFormat="1"/>
    <xf numFmtId="4" fontId="3" fillId="2" borderId="1" xfId="0" applyNumberFormat="1" applyFont="1" applyFill="1" applyBorder="1"/>
    <xf numFmtId="4" fontId="4" fillId="2" borderId="1" xfId="0" applyNumberFormat="1" applyFont="1" applyFill="1" applyBorder="1"/>
    <xf numFmtId="4" fontId="2" fillId="0" borderId="1" xfId="0" applyNumberFormat="1" applyFont="1" applyBorder="1"/>
    <xf numFmtId="9" fontId="0" fillId="0" borderId="0" xfId="0" applyNumberFormat="1"/>
    <xf numFmtId="165" fontId="2" fillId="0" borderId="1" xfId="0" applyNumberFormat="1" applyFont="1" applyBorder="1"/>
    <xf numFmtId="3" fontId="2" fillId="0" borderId="1" xfId="0" applyNumberFormat="1" applyFont="1" applyBorder="1"/>
    <xf numFmtId="0" fontId="1" fillId="3" borderId="0" xfId="0" applyFont="1" applyFill="1"/>
    <xf numFmtId="17" fontId="1" fillId="4" borderId="0" xfId="0" applyNumberFormat="1" applyFont="1" applyFill="1"/>
    <xf numFmtId="0" fontId="1" fillId="4" borderId="0" xfId="0" applyFont="1" applyFill="1"/>
    <xf numFmtId="164" fontId="1" fillId="4" borderId="0" xfId="0" applyNumberFormat="1" applyFont="1" applyFill="1"/>
    <xf numFmtId="9" fontId="1" fillId="4" borderId="0" xfId="0" applyNumberFormat="1" applyFont="1" applyFill="1"/>
    <xf numFmtId="17" fontId="1" fillId="5" borderId="0" xfId="0" applyNumberFormat="1" applyFont="1" applyFill="1"/>
    <xf numFmtId="0" fontId="1" fillId="5" borderId="0" xfId="0" applyFont="1" applyFill="1"/>
    <xf numFmtId="164" fontId="1" fillId="5" borderId="0" xfId="0" applyNumberFormat="1" applyFont="1" applyFill="1"/>
    <xf numFmtId="9" fontId="1" fillId="5" borderId="0" xfId="0" applyNumberFormat="1" applyFont="1" applyFill="1"/>
    <xf numFmtId="0" fontId="0" fillId="0" borderId="2" xfId="0" applyBorder="1"/>
    <xf numFmtId="0" fontId="0" fillId="0" borderId="5" xfId="0" applyBorder="1"/>
    <xf numFmtId="0" fontId="0" fillId="0" borderId="2" xfId="0" pivotButton="1" applyBorder="1"/>
    <xf numFmtId="0" fontId="0" fillId="0" borderId="6" xfId="0" applyBorder="1"/>
    <xf numFmtId="0" fontId="0" fillId="0" borderId="9" xfId="0" applyBorder="1"/>
    <xf numFmtId="164" fontId="0" fillId="0" borderId="8" xfId="0" applyNumberFormat="1"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3" fontId="0" fillId="0" borderId="5" xfId="0" applyNumberFormat="1" applyBorder="1"/>
    <xf numFmtId="3" fontId="0" fillId="0" borderId="7" xfId="0" applyNumberFormat="1" applyBorder="1"/>
    <xf numFmtId="3" fontId="0" fillId="0" borderId="11" xfId="0" applyNumberFormat="1" applyBorder="1"/>
    <xf numFmtId="9" fontId="0" fillId="0" borderId="6" xfId="0" applyNumberFormat="1" applyBorder="1"/>
    <xf numFmtId="0" fontId="0" fillId="0" borderId="8" xfId="0" applyBorder="1" applyAlignment="1">
      <alignment horizontal="left"/>
    </xf>
    <xf numFmtId="164" fontId="0" fillId="0" borderId="2" xfId="0" applyNumberFormat="1" applyBorder="1"/>
    <xf numFmtId="164" fontId="0" fillId="0" borderId="9" xfId="0" applyNumberFormat="1" applyBorder="1"/>
    <xf numFmtId="164" fontId="0" fillId="0" borderId="3" xfId="0" applyNumberFormat="1" applyBorder="1"/>
    <xf numFmtId="164" fontId="0" fillId="0" borderId="12" xfId="0" applyNumberFormat="1" applyBorder="1"/>
    <xf numFmtId="164" fontId="0" fillId="0" borderId="10" xfId="0" applyNumberFormat="1" applyBorder="1"/>
    <xf numFmtId="17" fontId="0" fillId="0" borderId="2" xfId="0" applyNumberFormat="1" applyBorder="1" applyAlignment="1">
      <alignment horizontal="left"/>
    </xf>
    <xf numFmtId="17" fontId="0" fillId="0" borderId="3" xfId="0" applyNumberFormat="1" applyBorder="1" applyAlignment="1">
      <alignment horizontal="left"/>
    </xf>
    <xf numFmtId="17" fontId="0" fillId="0" borderId="8" xfId="0" applyNumberFormat="1" applyBorder="1" applyAlignment="1">
      <alignment horizontal="left"/>
    </xf>
    <xf numFmtId="3" fontId="0" fillId="0" borderId="6" xfId="0" applyNumberFormat="1" applyBorder="1"/>
    <xf numFmtId="0" fontId="0" fillId="0" borderId="7" xfId="0" applyBorder="1"/>
    <xf numFmtId="0" fontId="0" fillId="6" borderId="0" xfId="0" applyFill="1"/>
  </cellXfs>
  <cellStyles count="1">
    <cellStyle name="Normal" xfId="0" builtinId="0"/>
  </cellStyles>
  <dxfs count="17">
    <dxf>
      <numFmt numFmtId="3" formatCode="#,##0"/>
    </dxf>
    <dxf>
      <numFmt numFmtId="3" formatCode="#,##0"/>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64" formatCode="_-* #,##0_-;\-* #,##0_-;_-* &quot;-&quot;??_-;_-@"/>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64" formatCode="_-* #,##0_-;\-* #,##0_-;_-* &quot;-&quot;??_-;_-@"/>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22" formatCode="mmm/yy"/>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Data-style" pivot="0" count="3" xr9:uid="{00000000-0011-0000-FFFF-FFFF00000000}">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2.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89888434499267E-3"/>
          <c:y val="4.3459138462385465E-2"/>
          <c:w val="0.92449686751853044"/>
          <c:h val="0.8620646017158467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7C-4033-A8C2-C4A85199C0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C7C-4033-A8C2-C4A85199C02A}"/>
              </c:ext>
            </c:extLst>
          </c:dPt>
          <c:dLbls>
            <c:dLbl>
              <c:idx val="0"/>
              <c:layout>
                <c:manualLayout>
                  <c:x val="-0.18424780666127821"/>
                  <c:y val="-0.3530592741377440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5C7C-4033-A8C2-C4A85199C02A}"/>
                </c:ext>
              </c:extLst>
            </c:dLbl>
            <c:dLbl>
              <c:idx val="1"/>
              <c:delete val="1"/>
              <c:extLst>
                <c:ext xmlns:c15="http://schemas.microsoft.com/office/drawing/2012/chart" uri="{CE6537A1-D6FC-4f65-9D91-7224C49458BB}"/>
                <c:ext xmlns:c16="http://schemas.microsoft.com/office/drawing/2014/chart" uri="{C3380CC4-5D6E-409C-BE32-E72D297353CC}">
                  <c16:uniqueId val="{00000002-5C7C-4033-A8C2-C4A85199C0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DATA'!$E$9:$E$10</c:f>
              <c:strCache>
                <c:ptCount val="2"/>
                <c:pt idx="0">
                  <c:v>Sales Completion</c:v>
                </c:pt>
                <c:pt idx="1">
                  <c:v>Sales Incompletion</c:v>
                </c:pt>
              </c:strCache>
            </c:strRef>
          </c:cat>
          <c:val>
            <c:numRef>
              <c:f>'REAL DATA'!$F$9:$F$10</c:f>
              <c:numCache>
                <c:formatCode>0%</c:formatCode>
                <c:ptCount val="2"/>
                <c:pt idx="0">
                  <c:v>0.85555555555555574</c:v>
                </c:pt>
                <c:pt idx="1">
                  <c:v>0.14000000000000001</c:v>
                </c:pt>
              </c:numCache>
            </c:numRef>
          </c:val>
          <c:extLst>
            <c:ext xmlns:c16="http://schemas.microsoft.com/office/drawing/2014/chart" uri="{C3380CC4-5D6E-409C-BE32-E72D297353CC}">
              <c16:uniqueId val="{00000000-5C7C-4033-A8C2-C4A85199C02A}"/>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881993776982873E-2"/>
          <c:y val="9.1131870785624111E-2"/>
          <c:w val="0.92449686751853044"/>
          <c:h val="0.8620646017158467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60-46E4-81A7-85DD3A951F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0-46E4-81A7-85DD3A951F83}"/>
              </c:ext>
            </c:extLst>
          </c:dPt>
          <c:dLbls>
            <c:dLbl>
              <c:idx val="0"/>
              <c:layout>
                <c:manualLayout>
                  <c:x val="-0.18424780666127821"/>
                  <c:y val="-0.3530592741377440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F360-46E4-81A7-85DD3A951F83}"/>
                </c:ext>
              </c:extLst>
            </c:dLbl>
            <c:dLbl>
              <c:idx val="1"/>
              <c:delete val="1"/>
              <c:extLst>
                <c:ext xmlns:c15="http://schemas.microsoft.com/office/drawing/2012/chart" uri="{CE6537A1-D6FC-4f65-9D91-7224C49458BB}"/>
                <c:ext xmlns:c16="http://schemas.microsoft.com/office/drawing/2014/chart" uri="{C3380CC4-5D6E-409C-BE32-E72D297353CC}">
                  <c16:uniqueId val="{00000003-F360-46E4-81A7-85DD3A951F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DATA'!$E$12:$E$13</c:f>
              <c:strCache>
                <c:ptCount val="2"/>
                <c:pt idx="0">
                  <c:v>Profit Completion</c:v>
                </c:pt>
                <c:pt idx="1">
                  <c:v>Profit Incompletion</c:v>
                </c:pt>
              </c:strCache>
            </c:strRef>
          </c:cat>
          <c:val>
            <c:numRef>
              <c:f>'REAL DATA'!$F$12:$F$13</c:f>
              <c:numCache>
                <c:formatCode>0%</c:formatCode>
                <c:ptCount val="2"/>
                <c:pt idx="0">
                  <c:v>0.85492063492063519</c:v>
                </c:pt>
                <c:pt idx="1">
                  <c:v>0.15</c:v>
                </c:pt>
              </c:numCache>
            </c:numRef>
          </c:val>
          <c:extLst>
            <c:ext xmlns:c16="http://schemas.microsoft.com/office/drawing/2014/chart" uri="{C3380CC4-5D6E-409C-BE32-E72D297353CC}">
              <c16:uniqueId val="{00000004-F360-46E4-81A7-85DD3A951F83}"/>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89888434499267E-3"/>
          <c:y val="4.3459138462385465E-2"/>
          <c:w val="0.92449686751853044"/>
          <c:h val="0.8620646017158467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0E-4782-A127-B63D84536B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0E-4782-A127-B63D84536B4E}"/>
              </c:ext>
            </c:extLst>
          </c:dPt>
          <c:dLbls>
            <c:dLbl>
              <c:idx val="0"/>
              <c:layout>
                <c:manualLayout>
                  <c:x val="-0.18424780666127821"/>
                  <c:y val="-0.3530592741377440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940E-4782-A127-B63D84536B4E}"/>
                </c:ext>
              </c:extLst>
            </c:dLbl>
            <c:dLbl>
              <c:idx val="1"/>
              <c:delete val="1"/>
              <c:extLst>
                <c:ext xmlns:c15="http://schemas.microsoft.com/office/drawing/2012/chart" uri="{CE6537A1-D6FC-4f65-9D91-7224C49458BB}"/>
                <c:ext xmlns:c16="http://schemas.microsoft.com/office/drawing/2014/chart" uri="{C3380CC4-5D6E-409C-BE32-E72D297353CC}">
                  <c16:uniqueId val="{00000003-940E-4782-A127-B63D84536B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DATA'!$E$15:$E$16</c:f>
              <c:strCache>
                <c:ptCount val="2"/>
                <c:pt idx="0">
                  <c:v>Customer Completion</c:v>
                </c:pt>
                <c:pt idx="1">
                  <c:v>Customer Incompletion</c:v>
                </c:pt>
              </c:strCache>
            </c:strRef>
          </c:cat>
          <c:val>
            <c:numRef>
              <c:f>'REAL DATA'!$F$15:$F$16</c:f>
              <c:numCache>
                <c:formatCode>0%</c:formatCode>
                <c:ptCount val="2"/>
                <c:pt idx="0">
                  <c:v>0.8447619047619046</c:v>
                </c:pt>
                <c:pt idx="1">
                  <c:v>0.16</c:v>
                </c:pt>
              </c:numCache>
            </c:numRef>
          </c:val>
          <c:extLst>
            <c:ext xmlns:c16="http://schemas.microsoft.com/office/drawing/2014/chart" uri="{C3380CC4-5D6E-409C-BE32-E72D297353CC}">
              <c16:uniqueId val="{00000004-940E-4782-A127-B63D84536B4E}"/>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[Project-Students_dashboard_insights.xlsx]REAL DATA!PivotTable10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'REAL DATA'!$I$3</c:f>
              <c:strCache>
                <c:ptCount val="1"/>
                <c:pt idx="0">
                  <c:v>Sum of Sales</c:v>
                </c:pt>
              </c:strCache>
            </c:strRef>
          </c:tx>
          <c:spPr>
            <a:solidFill>
              <a:schemeClr val="accent1"/>
            </a:solidFill>
            <a:ln>
              <a:noFill/>
            </a:ln>
            <a:effectLst/>
          </c:spPr>
          <c:invertIfNegative val="0"/>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DATA'!$I$4:$I$13</c:f>
              <c:numCache>
                <c:formatCode>_-* #,##0_-;\-* #,##0_-;_-* "-"??_-;_-@</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E464-44AE-85CE-683EB5A590E1}"/>
            </c:ext>
          </c:extLst>
        </c:ser>
        <c:ser>
          <c:idx val="1"/>
          <c:order val="1"/>
          <c:tx>
            <c:strRef>
              <c:f>'REAL DATA'!$J$3</c:f>
              <c:strCache>
                <c:ptCount val="1"/>
                <c:pt idx="0">
                  <c:v>Sum of Target Sales</c:v>
                </c:pt>
              </c:strCache>
            </c:strRef>
          </c:tx>
          <c:spPr>
            <a:solidFill>
              <a:schemeClr val="accent2"/>
            </a:solidFill>
            <a:ln>
              <a:noFill/>
            </a:ln>
            <a:effectLst/>
          </c:spPr>
          <c:invertIfNegative val="0"/>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DATA'!$J$4:$J$13</c:f>
              <c:numCache>
                <c:formatCode>_-* #,##0_-;\-* #,##0_-;_-* "-"??_-;_-@</c:formatCode>
                <c:ptCount val="9"/>
                <c:pt idx="0">
                  <c:v>20000.000000000004</c:v>
                </c:pt>
                <c:pt idx="1">
                  <c:v>10000.000000000002</c:v>
                </c:pt>
                <c:pt idx="2">
                  <c:v>10000.000000000002</c:v>
                </c:pt>
                <c:pt idx="3">
                  <c:v>40000.000000000007</c:v>
                </c:pt>
                <c:pt idx="4">
                  <c:v>20000.000000000004</c:v>
                </c:pt>
                <c:pt idx="5">
                  <c:v>5999.9999999999991</c:v>
                </c:pt>
                <c:pt idx="6">
                  <c:v>5000.0000000000009</c:v>
                </c:pt>
                <c:pt idx="7">
                  <c:v>5000.0000000000009</c:v>
                </c:pt>
                <c:pt idx="8">
                  <c:v>2000.0000000000002</c:v>
                </c:pt>
              </c:numCache>
            </c:numRef>
          </c:val>
          <c:extLst>
            <c:ext xmlns:c16="http://schemas.microsoft.com/office/drawing/2014/chart" uri="{C3380CC4-5D6E-409C-BE32-E72D297353CC}">
              <c16:uniqueId val="{00000001-E464-44AE-85CE-683EB5A590E1}"/>
            </c:ext>
          </c:extLst>
        </c:ser>
        <c:dLbls>
          <c:showLegendKey val="0"/>
          <c:showVal val="0"/>
          <c:showCatName val="0"/>
          <c:showSerName val="0"/>
          <c:showPercent val="0"/>
          <c:showBubbleSize val="0"/>
        </c:dLbls>
        <c:gapWidth val="150"/>
        <c:overlap val="100"/>
        <c:axId val="2097086639"/>
        <c:axId val="2094500399"/>
      </c:barChart>
      <c:catAx>
        <c:axId val="2097086639"/>
        <c:scaling>
          <c:orientation val="minMax"/>
        </c:scaling>
        <c:delete val="1"/>
        <c:axPos val="b"/>
        <c:numFmt formatCode="General" sourceLinked="1"/>
        <c:majorTickMark val="none"/>
        <c:minorTickMark val="none"/>
        <c:tickLblPos val="nextTo"/>
        <c:crossAx val="2094500399"/>
        <c:crosses val="autoZero"/>
        <c:auto val="1"/>
        <c:lblAlgn val="ctr"/>
        <c:lblOffset val="100"/>
        <c:noMultiLvlLbl val="0"/>
      </c:catAx>
      <c:valAx>
        <c:axId val="2094500399"/>
        <c:scaling>
          <c:orientation val="minMax"/>
        </c:scaling>
        <c:delete val="1"/>
        <c:axPos val="l"/>
        <c:numFmt formatCode="0%" sourceLinked="1"/>
        <c:majorTickMark val="none"/>
        <c:minorTickMark val="none"/>
        <c:tickLblPos val="nextTo"/>
        <c:crossAx val="209708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[Project-Students_dashboard_insights.xlsx]REAL DATA!PivotTable11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7.3053368328958895E-2"/>
          <c:w val="0.93888888888888888"/>
          <c:h val="0.72797535724701079"/>
        </c:manualLayout>
      </c:layout>
      <c:lineChart>
        <c:grouping val="standard"/>
        <c:varyColors val="0"/>
        <c:ser>
          <c:idx val="0"/>
          <c:order val="0"/>
          <c:tx>
            <c:strRef>
              <c:f>'REAL DATA'!$M$3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DATA'!$L$4:$L$13</c:f>
              <c:strCache>
                <c:ptCount val="9"/>
                <c:pt idx="0">
                  <c:v>Jan</c:v>
                </c:pt>
                <c:pt idx="1">
                  <c:v>Feb</c:v>
                </c:pt>
                <c:pt idx="2">
                  <c:v>Mar</c:v>
                </c:pt>
                <c:pt idx="3">
                  <c:v>Apr</c:v>
                </c:pt>
                <c:pt idx="4">
                  <c:v>May</c:v>
                </c:pt>
                <c:pt idx="5">
                  <c:v>Jun</c:v>
                </c:pt>
                <c:pt idx="6">
                  <c:v>Jul</c:v>
                </c:pt>
                <c:pt idx="7">
                  <c:v>Aug</c:v>
                </c:pt>
                <c:pt idx="8">
                  <c:v>Sep</c:v>
                </c:pt>
              </c:strCache>
            </c:strRef>
          </c:cat>
          <c:val>
            <c:numRef>
              <c:f>'REAL DATA'!$M$4:$M$13</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B41A-4FEC-B378-8EBD40D43B9A}"/>
            </c:ext>
          </c:extLst>
        </c:ser>
        <c:dLbls>
          <c:dLblPos val="t"/>
          <c:showLegendKey val="0"/>
          <c:showVal val="1"/>
          <c:showCatName val="0"/>
          <c:showSerName val="0"/>
          <c:showPercent val="0"/>
          <c:showBubbleSize val="0"/>
        </c:dLbls>
        <c:marker val="1"/>
        <c:smooth val="0"/>
        <c:axId val="1888970735"/>
        <c:axId val="2094316079"/>
      </c:lineChart>
      <c:catAx>
        <c:axId val="188897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16079"/>
        <c:crosses val="autoZero"/>
        <c:auto val="1"/>
        <c:lblAlgn val="ctr"/>
        <c:lblOffset val="100"/>
        <c:noMultiLvlLbl val="0"/>
      </c:catAx>
      <c:valAx>
        <c:axId val="2094316079"/>
        <c:scaling>
          <c:orientation val="minMax"/>
        </c:scaling>
        <c:delete val="1"/>
        <c:axPos val="l"/>
        <c:numFmt formatCode="General" sourceLinked="1"/>
        <c:majorTickMark val="out"/>
        <c:minorTickMark val="none"/>
        <c:tickLblPos val="nextTo"/>
        <c:crossAx val="188897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[Project-Students_dashboard_insights.xlsx]REAL DATA!PivotTable12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'REAL DATA'!$P$3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DATA'!$O$4:$O$11</c:f>
              <c:strCache>
                <c:ptCount val="7"/>
                <c:pt idx="0">
                  <c:v>Argentina</c:v>
                </c:pt>
                <c:pt idx="1">
                  <c:v>Brazil</c:v>
                </c:pt>
                <c:pt idx="2">
                  <c:v>Chicaco</c:v>
                </c:pt>
                <c:pt idx="3">
                  <c:v>Chile</c:v>
                </c:pt>
                <c:pt idx="4">
                  <c:v>Columbia</c:v>
                </c:pt>
                <c:pt idx="5">
                  <c:v>Los Angeles</c:v>
                </c:pt>
                <c:pt idx="6">
                  <c:v>Peru</c:v>
                </c:pt>
              </c:strCache>
            </c:strRef>
          </c:cat>
          <c:val>
            <c:numRef>
              <c:f>'REAL DATA'!$P$4:$P$11</c:f>
              <c:numCache>
                <c:formatCode>#,##0</c:formatCode>
                <c:ptCount val="7"/>
                <c:pt idx="0">
                  <c:v>126081</c:v>
                </c:pt>
                <c:pt idx="1">
                  <c:v>129875</c:v>
                </c:pt>
                <c:pt idx="2">
                  <c:v>126793</c:v>
                </c:pt>
                <c:pt idx="3">
                  <c:v>128833</c:v>
                </c:pt>
                <c:pt idx="4">
                  <c:v>125980</c:v>
                </c:pt>
                <c:pt idx="5">
                  <c:v>126209</c:v>
                </c:pt>
                <c:pt idx="6">
                  <c:v>127340</c:v>
                </c:pt>
              </c:numCache>
            </c:numRef>
          </c:val>
          <c:extLst>
            <c:ext xmlns:c16="http://schemas.microsoft.com/office/drawing/2014/chart" uri="{C3380CC4-5D6E-409C-BE32-E72D297353CC}">
              <c16:uniqueId val="{00000000-5052-4EC1-9E12-B9D3607A410D}"/>
            </c:ext>
          </c:extLst>
        </c:ser>
        <c:dLbls>
          <c:dLblPos val="outEnd"/>
          <c:showLegendKey val="0"/>
          <c:showVal val="1"/>
          <c:showCatName val="0"/>
          <c:showSerName val="0"/>
          <c:showPercent val="0"/>
          <c:showBubbleSize val="0"/>
        </c:dLbls>
        <c:gapWidth val="182"/>
        <c:axId val="2097085247"/>
        <c:axId val="2094521999"/>
      </c:barChart>
      <c:catAx>
        <c:axId val="209708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521999"/>
        <c:crosses val="autoZero"/>
        <c:auto val="1"/>
        <c:lblAlgn val="ctr"/>
        <c:lblOffset val="100"/>
        <c:noMultiLvlLbl val="0"/>
      </c:catAx>
      <c:valAx>
        <c:axId val="2094521999"/>
        <c:scaling>
          <c:orientation val="minMax"/>
        </c:scaling>
        <c:delete val="1"/>
        <c:axPos val="b"/>
        <c:numFmt formatCode="#,##0" sourceLinked="1"/>
        <c:majorTickMark val="out"/>
        <c:minorTickMark val="none"/>
        <c:tickLblPos val="nextTo"/>
        <c:crossAx val="209708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9816668456881822"/>
          <c:y val="2.0155745991225601E-2"/>
          <c:w val="0.56080789874472858"/>
          <c:h val="0.97424969381254511"/>
        </c:manualLayout>
      </c:layout>
      <c:doughnutChart>
        <c:varyColors val="1"/>
        <c:ser>
          <c:idx val="0"/>
          <c:order val="0"/>
          <c:spPr>
            <a:solidFill>
              <a:schemeClr val="bg1">
                <a:lumMod val="65000"/>
              </a:schemeClr>
            </a:solidFill>
          </c:spPr>
          <c:explosion val="18"/>
          <c:dPt>
            <c:idx val="0"/>
            <c:bubble3D val="0"/>
            <c:explosion val="0"/>
            <c:spPr>
              <a:solidFill>
                <a:schemeClr val="tx1"/>
              </a:solidFill>
              <a:ln w="19050">
                <a:solidFill>
                  <a:schemeClr val="lt1"/>
                </a:solidFill>
              </a:ln>
              <a:effectLst/>
            </c:spPr>
            <c:extLst>
              <c:ext xmlns:c16="http://schemas.microsoft.com/office/drawing/2014/chart" uri="{C3380CC4-5D6E-409C-BE32-E72D297353CC}">
                <c16:uniqueId val="{00000001-62C3-43E8-8197-30EA7B8A64DA}"/>
              </c:ext>
            </c:extLst>
          </c:dPt>
          <c:dPt>
            <c:idx val="1"/>
            <c:bubble3D val="0"/>
            <c:explosion val="0"/>
            <c:spPr>
              <a:solidFill>
                <a:schemeClr val="bg1">
                  <a:lumMod val="65000"/>
                </a:schemeClr>
              </a:solidFill>
              <a:ln w="19050">
                <a:solidFill>
                  <a:schemeClr val="lt1"/>
                </a:solidFill>
              </a:ln>
              <a:effectLst/>
            </c:spPr>
            <c:extLst>
              <c:ext xmlns:c16="http://schemas.microsoft.com/office/drawing/2014/chart" uri="{C3380CC4-5D6E-409C-BE32-E72D297353CC}">
                <c16:uniqueId val="{00000003-62C3-43E8-8197-30EA7B8A64DA}"/>
              </c:ext>
            </c:extLst>
          </c:dPt>
          <c:dLbls>
            <c:dLbl>
              <c:idx val="0"/>
              <c:layout>
                <c:manualLayout>
                  <c:x val="-6.4798019819370625E-2"/>
                  <c:y val="-0.30008699353596158"/>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62C3-43E8-8197-30EA7B8A64DA}"/>
                </c:ext>
              </c:extLst>
            </c:dLbl>
            <c:dLbl>
              <c:idx val="1"/>
              <c:delete val="1"/>
              <c:extLst>
                <c:ext xmlns:c15="http://schemas.microsoft.com/office/drawing/2012/chart" uri="{CE6537A1-D6FC-4f65-9D91-7224C49458BB}"/>
                <c:ext xmlns:c16="http://schemas.microsoft.com/office/drawing/2014/chart" uri="{C3380CC4-5D6E-409C-BE32-E72D297353CC}">
                  <c16:uniqueId val="{00000003-62C3-43E8-8197-30EA7B8A64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DATA'!$E$9:$E$10</c:f>
              <c:strCache>
                <c:ptCount val="2"/>
                <c:pt idx="0">
                  <c:v>Sales Completion</c:v>
                </c:pt>
                <c:pt idx="1">
                  <c:v>Sales Incompletion</c:v>
                </c:pt>
              </c:strCache>
            </c:strRef>
          </c:cat>
          <c:val>
            <c:numRef>
              <c:f>'REAL DATA'!$F$9:$F$10</c:f>
              <c:numCache>
                <c:formatCode>0%</c:formatCode>
                <c:ptCount val="2"/>
                <c:pt idx="0">
                  <c:v>0.85555555555555574</c:v>
                </c:pt>
                <c:pt idx="1">
                  <c:v>0.14000000000000001</c:v>
                </c:pt>
              </c:numCache>
            </c:numRef>
          </c:val>
          <c:extLst>
            <c:ext xmlns:c16="http://schemas.microsoft.com/office/drawing/2014/chart" uri="{C3380CC4-5D6E-409C-BE32-E72D297353CC}">
              <c16:uniqueId val="{00000004-62C3-43E8-8197-30EA7B8A64DA}"/>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998164186056771E-2"/>
          <c:y val="7.7616509808368289E-2"/>
          <c:w val="0.92449686751853044"/>
          <c:h val="0.86206460171584676"/>
        </c:manualLayout>
      </c:layout>
      <c:doughnutChart>
        <c:varyColors val="1"/>
        <c:ser>
          <c:idx val="0"/>
          <c:order val="0"/>
          <c:spPr>
            <a:solidFill>
              <a:schemeClr val="tx1"/>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1-573D-475A-83BA-4649DE9E11E8}"/>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573D-475A-83BA-4649DE9E11E8}"/>
              </c:ext>
            </c:extLst>
          </c:dPt>
          <c:dLbls>
            <c:dLbl>
              <c:idx val="0"/>
              <c:layout>
                <c:manualLayout>
                  <c:x val="-0.11071156995901839"/>
                  <c:y val="-0.32382627186018981"/>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756610967753437"/>
                      <c:h val="0.23739649857251685"/>
                    </c:manualLayout>
                  </c15:layout>
                </c:ext>
                <c:ext xmlns:c16="http://schemas.microsoft.com/office/drawing/2014/chart" uri="{C3380CC4-5D6E-409C-BE32-E72D297353CC}">
                  <c16:uniqueId val="{00000001-573D-475A-83BA-4649DE9E11E8}"/>
                </c:ext>
              </c:extLst>
            </c:dLbl>
            <c:dLbl>
              <c:idx val="1"/>
              <c:delete val="1"/>
              <c:extLst>
                <c:ext xmlns:c15="http://schemas.microsoft.com/office/drawing/2012/chart" uri="{CE6537A1-D6FC-4f65-9D91-7224C49458BB}"/>
                <c:ext xmlns:c16="http://schemas.microsoft.com/office/drawing/2014/chart" uri="{C3380CC4-5D6E-409C-BE32-E72D297353CC}">
                  <c16:uniqueId val="{00000003-573D-475A-83BA-4649DE9E11E8}"/>
                </c:ext>
              </c:extLst>
            </c:dLbl>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DATA'!$E$15:$E$16</c:f>
              <c:strCache>
                <c:ptCount val="2"/>
                <c:pt idx="0">
                  <c:v>Customer Completion</c:v>
                </c:pt>
                <c:pt idx="1">
                  <c:v>Customer Incompletion</c:v>
                </c:pt>
              </c:strCache>
            </c:strRef>
          </c:cat>
          <c:val>
            <c:numRef>
              <c:f>'REAL DATA'!$F$15:$F$16</c:f>
              <c:numCache>
                <c:formatCode>0%</c:formatCode>
                <c:ptCount val="2"/>
                <c:pt idx="0">
                  <c:v>0.8447619047619046</c:v>
                </c:pt>
                <c:pt idx="1">
                  <c:v>0.16</c:v>
                </c:pt>
              </c:numCache>
            </c:numRef>
          </c:val>
          <c:extLst>
            <c:ext xmlns:c16="http://schemas.microsoft.com/office/drawing/2014/chart" uri="{C3380CC4-5D6E-409C-BE32-E72D297353CC}">
              <c16:uniqueId val="{00000004-573D-475A-83BA-4649DE9E11E8}"/>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36231284633377E-2"/>
          <c:y val="8.6978627523419005E-2"/>
          <c:w val="0.92449686751853044"/>
          <c:h val="0.86206460171584676"/>
        </c:manualLayout>
      </c:layout>
      <c:doughnutChart>
        <c:varyColors val="1"/>
        <c:ser>
          <c:idx val="0"/>
          <c:order val="0"/>
          <c:spPr>
            <a:solidFill>
              <a:schemeClr val="tx1"/>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1-5044-44BB-A69F-12498A75CF89}"/>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5044-44BB-A69F-12498A75CF89}"/>
              </c:ext>
            </c:extLst>
          </c:dPt>
          <c:dLbls>
            <c:dLbl>
              <c:idx val="0"/>
              <c:layout>
                <c:manualLayout>
                  <c:x val="-9.3726810438975225E-2"/>
                  <c:y val="-0.32252087827000719"/>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5044-44BB-A69F-12498A75CF89}"/>
                </c:ext>
              </c:extLst>
            </c:dLbl>
            <c:dLbl>
              <c:idx val="1"/>
              <c:delete val="1"/>
              <c:extLst>
                <c:ext xmlns:c15="http://schemas.microsoft.com/office/drawing/2012/chart" uri="{CE6537A1-D6FC-4f65-9D91-7224C49458BB}"/>
                <c:ext xmlns:c16="http://schemas.microsoft.com/office/drawing/2014/chart" uri="{C3380CC4-5D6E-409C-BE32-E72D297353CC}">
                  <c16:uniqueId val="{00000003-5044-44BB-A69F-12498A75CF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DATA'!$E$12:$E$13</c:f>
              <c:strCache>
                <c:ptCount val="2"/>
                <c:pt idx="0">
                  <c:v>Profit Completion</c:v>
                </c:pt>
                <c:pt idx="1">
                  <c:v>Profit Incompletion</c:v>
                </c:pt>
              </c:strCache>
            </c:strRef>
          </c:cat>
          <c:val>
            <c:numRef>
              <c:f>'REAL DATA'!$F$12:$F$13</c:f>
              <c:numCache>
                <c:formatCode>0%</c:formatCode>
                <c:ptCount val="2"/>
                <c:pt idx="0">
                  <c:v>0.85492063492063519</c:v>
                </c:pt>
                <c:pt idx="1">
                  <c:v>0.15</c:v>
                </c:pt>
              </c:numCache>
            </c:numRef>
          </c:val>
          <c:extLst>
            <c:ext xmlns:c16="http://schemas.microsoft.com/office/drawing/2014/chart" uri="{C3380CC4-5D6E-409C-BE32-E72D297353CC}">
              <c16:uniqueId val="{00000004-5044-44BB-A69F-12498A75CF8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[Project-Students_dashboard_insights.xlsx]REAL DATA!PivotTable10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dLbl>
          <c:idx val="0"/>
          <c:layout>
            <c:manualLayout>
              <c:x val="-1.0039567361680942E-16"/>
              <c:y val="-1.57602401229476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dLbl>
          <c:idx val="0"/>
          <c:layout>
            <c:manualLayout>
              <c:x val="0"/>
              <c:y val="-4.72807203688428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dLbl>
          <c:idx val="0"/>
          <c:layout>
            <c:manualLayout>
              <c:x val="-1.0039567361680942E-16"/>
              <c:y val="-3.827486887001561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dLbl>
          <c:idx val="0"/>
          <c:layout>
            <c:manualLayout>
              <c:x val="-1.0039567361680942E-16"/>
              <c:y val="-4.502925749413602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dLbl>
          <c:idx val="0"/>
          <c:layout>
            <c:manualLayout>
              <c:x val="-2.7380954562599993E-3"/>
              <c:y val="-0.1193275323594604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dLbl>
          <c:idx val="0"/>
          <c:layout>
            <c:manualLayout>
              <c:x val="-5.4761909125198988E-3"/>
              <c:y val="-0.2093860473477324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dLbl>
          <c:idx val="0"/>
          <c:layout>
            <c:manualLayout>
              <c:x val="0"/>
              <c:y val="-9.005851498827202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dLbl>
          <c:idx val="0"/>
          <c:layout>
            <c:manualLayout>
              <c:x val="2.7380954562599494E-3"/>
              <c:y val="-0.1080702179859264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c:spPr>
        <c:dLbl>
          <c:idx val="0"/>
          <c:layout>
            <c:manualLayout>
              <c:x val="4.1071431843899241E-3"/>
              <c:y val="-0.162105326978889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dLbl>
          <c:idx val="0"/>
          <c:layout>
            <c:manualLayout>
              <c:x val="-4.9285718212679082E-2"/>
              <c:y val="0.13959069823182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dLbl>
          <c:idx val="0"/>
          <c:layout>
            <c:manualLayout>
              <c:x val="-4.6547622756419139E-2"/>
              <c:y val="0.1598538641041828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dLbl>
          <c:idx val="0"/>
          <c:layout>
            <c:manualLayout>
              <c:x val="-3.4226193203249364E-2"/>
              <c:y val="9.906436648709912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dLbl>
          <c:idx val="0"/>
          <c:layout>
            <c:manualLayout>
              <c:x val="-3.5595240931379342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noFill/>
          </a:ln>
          <a:effectLst/>
        </c:spPr>
        <c:dLbl>
          <c:idx val="0"/>
          <c:layout>
            <c:manualLayout>
              <c:x val="-4.1071431843899289E-2"/>
              <c:y val="1.125731437353391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noFill/>
          </a:ln>
          <a:effectLst/>
        </c:spPr>
        <c:dLbl>
          <c:idx val="0"/>
          <c:layout>
            <c:manualLayout>
              <c:x val="-3.5595240931379439E-2"/>
              <c:y val="1.576024012294751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noFill/>
          </a:ln>
          <a:effectLst/>
        </c:spPr>
        <c:dLbl>
          <c:idx val="0"/>
          <c:layout>
            <c:manualLayout>
              <c:x val="-4.380952730015919E-2"/>
              <c:y val="-6.3040960491790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noFill/>
          </a:ln>
          <a:effectLst/>
        </c:spPr>
        <c:dLbl>
          <c:idx val="0"/>
          <c:layout>
            <c:manualLayout>
              <c:x val="-5.3392861397069009E-2"/>
              <c:y val="-9.456144073768568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c:spPr>
        <c:dLbl>
          <c:idx val="0"/>
          <c:layout>
            <c:manualLayout>
              <c:x val="-4.6547622756419139E-2"/>
              <c:y val="-1.350877724824080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4932094948509E-2"/>
          <c:y val="0.13079827445914177"/>
          <c:w val="0.83348307655310028"/>
          <c:h val="0.86752417285638417"/>
        </c:manualLayout>
      </c:layout>
      <c:barChart>
        <c:barDir val="col"/>
        <c:grouping val="percentStacked"/>
        <c:varyColors val="0"/>
        <c:ser>
          <c:idx val="0"/>
          <c:order val="0"/>
          <c:tx>
            <c:strRef>
              <c:f>'REAL DATA'!$I$3</c:f>
              <c:strCache>
                <c:ptCount val="1"/>
                <c:pt idx="0">
                  <c:v>Sum of Sales</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9-BF0C-45DE-A99A-653189323576}"/>
              </c:ext>
            </c:extLst>
          </c:dPt>
          <c:dPt>
            <c:idx val="1"/>
            <c:invertIfNegative val="0"/>
            <c:bubble3D val="0"/>
            <c:spPr>
              <a:solidFill>
                <a:schemeClr val="tx1"/>
              </a:solidFill>
              <a:ln>
                <a:noFill/>
              </a:ln>
              <a:effectLst/>
            </c:spPr>
            <c:extLst>
              <c:ext xmlns:c16="http://schemas.microsoft.com/office/drawing/2014/chart" uri="{C3380CC4-5D6E-409C-BE32-E72D297353CC}">
                <c16:uniqueId val="{0000000A-BF0C-45DE-A99A-653189323576}"/>
              </c:ext>
            </c:extLst>
          </c:dPt>
          <c:dPt>
            <c:idx val="2"/>
            <c:invertIfNegative val="0"/>
            <c:bubble3D val="0"/>
            <c:spPr>
              <a:solidFill>
                <a:schemeClr val="tx1"/>
              </a:solidFill>
              <a:ln>
                <a:noFill/>
              </a:ln>
              <a:effectLst/>
            </c:spPr>
            <c:extLst>
              <c:ext xmlns:c16="http://schemas.microsoft.com/office/drawing/2014/chart" uri="{C3380CC4-5D6E-409C-BE32-E72D297353CC}">
                <c16:uniqueId val="{0000000B-BF0C-45DE-A99A-653189323576}"/>
              </c:ext>
            </c:extLst>
          </c:dPt>
          <c:dPt>
            <c:idx val="3"/>
            <c:invertIfNegative val="0"/>
            <c:bubble3D val="0"/>
            <c:spPr>
              <a:solidFill>
                <a:schemeClr val="tx1"/>
              </a:solidFill>
              <a:ln>
                <a:noFill/>
              </a:ln>
              <a:effectLst/>
            </c:spPr>
            <c:extLst>
              <c:ext xmlns:c16="http://schemas.microsoft.com/office/drawing/2014/chart" uri="{C3380CC4-5D6E-409C-BE32-E72D297353CC}">
                <c16:uniqueId val="{0000000C-BF0C-45DE-A99A-653189323576}"/>
              </c:ext>
            </c:extLst>
          </c:dPt>
          <c:dPt>
            <c:idx val="4"/>
            <c:invertIfNegative val="0"/>
            <c:bubble3D val="0"/>
            <c:spPr>
              <a:solidFill>
                <a:schemeClr val="tx1"/>
              </a:solidFill>
              <a:ln>
                <a:noFill/>
              </a:ln>
              <a:effectLst/>
            </c:spPr>
            <c:extLst>
              <c:ext xmlns:c16="http://schemas.microsoft.com/office/drawing/2014/chart" uri="{C3380CC4-5D6E-409C-BE32-E72D297353CC}">
                <c16:uniqueId val="{0000000D-BF0C-45DE-A99A-653189323576}"/>
              </c:ext>
            </c:extLst>
          </c:dPt>
          <c:dPt>
            <c:idx val="5"/>
            <c:invertIfNegative val="0"/>
            <c:bubble3D val="0"/>
            <c:spPr>
              <a:solidFill>
                <a:schemeClr val="tx1"/>
              </a:solidFill>
              <a:ln>
                <a:noFill/>
              </a:ln>
              <a:effectLst/>
            </c:spPr>
            <c:extLst>
              <c:ext xmlns:c16="http://schemas.microsoft.com/office/drawing/2014/chart" uri="{C3380CC4-5D6E-409C-BE32-E72D297353CC}">
                <c16:uniqueId val="{0000000E-BF0C-45DE-A99A-653189323576}"/>
              </c:ext>
            </c:extLst>
          </c:dPt>
          <c:dPt>
            <c:idx val="6"/>
            <c:invertIfNegative val="0"/>
            <c:bubble3D val="0"/>
            <c:spPr>
              <a:solidFill>
                <a:schemeClr val="tx1"/>
              </a:solidFill>
              <a:ln>
                <a:noFill/>
              </a:ln>
              <a:effectLst/>
            </c:spPr>
            <c:extLst>
              <c:ext xmlns:c16="http://schemas.microsoft.com/office/drawing/2014/chart" uri="{C3380CC4-5D6E-409C-BE32-E72D297353CC}">
                <c16:uniqueId val="{0000000F-BF0C-45DE-A99A-653189323576}"/>
              </c:ext>
            </c:extLst>
          </c:dPt>
          <c:dPt>
            <c:idx val="7"/>
            <c:invertIfNegative val="0"/>
            <c:bubble3D val="0"/>
            <c:spPr>
              <a:solidFill>
                <a:schemeClr val="tx1"/>
              </a:solidFill>
              <a:ln>
                <a:noFill/>
              </a:ln>
              <a:effectLst/>
            </c:spPr>
            <c:extLst>
              <c:ext xmlns:c16="http://schemas.microsoft.com/office/drawing/2014/chart" uri="{C3380CC4-5D6E-409C-BE32-E72D297353CC}">
                <c16:uniqueId val="{00000010-BF0C-45DE-A99A-653189323576}"/>
              </c:ext>
            </c:extLst>
          </c:dPt>
          <c:dPt>
            <c:idx val="8"/>
            <c:invertIfNegative val="0"/>
            <c:bubble3D val="0"/>
            <c:spPr>
              <a:solidFill>
                <a:schemeClr val="tx1"/>
              </a:solidFill>
              <a:ln>
                <a:noFill/>
              </a:ln>
              <a:effectLst/>
            </c:spPr>
            <c:extLst>
              <c:ext xmlns:c16="http://schemas.microsoft.com/office/drawing/2014/chart" uri="{C3380CC4-5D6E-409C-BE32-E72D297353CC}">
                <c16:uniqueId val="{00000011-BF0C-45DE-A99A-653189323576}"/>
              </c:ext>
            </c:extLst>
          </c:dPt>
          <c:dLbls>
            <c:dLbl>
              <c:idx val="0"/>
              <c:layout>
                <c:manualLayout>
                  <c:x val="-4.9285718212679082E-2"/>
                  <c:y val="0.13959069823182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0C-45DE-A99A-653189323576}"/>
                </c:ext>
              </c:extLst>
            </c:dLbl>
            <c:dLbl>
              <c:idx val="1"/>
              <c:layout>
                <c:manualLayout>
                  <c:x val="-4.6547622756419139E-2"/>
                  <c:y val="0.159853864104182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0C-45DE-A99A-653189323576}"/>
                </c:ext>
              </c:extLst>
            </c:dLbl>
            <c:dLbl>
              <c:idx val="2"/>
              <c:layout>
                <c:manualLayout>
                  <c:x val="-3.4226193203249364E-2"/>
                  <c:y val="9.906436648709912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0C-45DE-A99A-653189323576}"/>
                </c:ext>
              </c:extLst>
            </c:dLbl>
            <c:dLbl>
              <c:idx val="3"/>
              <c:layout>
                <c:manualLayout>
                  <c:x val="-3.559524093137934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0C-45DE-A99A-653189323576}"/>
                </c:ext>
              </c:extLst>
            </c:dLbl>
            <c:dLbl>
              <c:idx val="4"/>
              <c:layout>
                <c:manualLayout>
                  <c:x val="-4.1071431843899289E-2"/>
                  <c:y val="1.12573143735339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0C-45DE-A99A-653189323576}"/>
                </c:ext>
              </c:extLst>
            </c:dLbl>
            <c:dLbl>
              <c:idx val="5"/>
              <c:layout>
                <c:manualLayout>
                  <c:x val="-3.5595240931379439E-2"/>
                  <c:y val="1.57602401229475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F0C-45DE-A99A-653189323576}"/>
                </c:ext>
              </c:extLst>
            </c:dLbl>
            <c:dLbl>
              <c:idx val="6"/>
              <c:layout>
                <c:manualLayout>
                  <c:x val="-4.380952730015919E-2"/>
                  <c:y val="-6.30409604917904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F0C-45DE-A99A-653189323576}"/>
                </c:ext>
              </c:extLst>
            </c:dLbl>
            <c:dLbl>
              <c:idx val="7"/>
              <c:layout>
                <c:manualLayout>
                  <c:x val="-5.3392861397069009E-2"/>
                  <c:y val="-9.45614407376856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F0C-45DE-A99A-653189323576}"/>
                </c:ext>
              </c:extLst>
            </c:dLbl>
            <c:dLbl>
              <c:idx val="8"/>
              <c:layout>
                <c:manualLayout>
                  <c:x val="-4.6547622756419139E-2"/>
                  <c:y val="-1.35087772482408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F0C-45DE-A99A-653189323576}"/>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DATA'!$I$4:$I$13</c:f>
              <c:numCache>
                <c:formatCode>_-* #,##0_-;\-* #,##0_-;_-* "-"??_-;_-@</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FE60-4769-B023-10C9DEA6B80C}"/>
            </c:ext>
          </c:extLst>
        </c:ser>
        <c:ser>
          <c:idx val="1"/>
          <c:order val="1"/>
          <c:tx>
            <c:strRef>
              <c:f>'REAL DATA'!$J$3</c:f>
              <c:strCache>
                <c:ptCount val="1"/>
                <c:pt idx="0">
                  <c:v>Sum of Target Sales</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8-BF0C-45DE-A99A-653189323576}"/>
              </c:ext>
            </c:extLst>
          </c:dPt>
          <c:dPt>
            <c:idx val="1"/>
            <c:invertIfNegative val="0"/>
            <c:bubble3D val="0"/>
            <c:spPr>
              <a:solidFill>
                <a:schemeClr val="bg1"/>
              </a:solidFill>
              <a:ln>
                <a:noFill/>
              </a:ln>
              <a:effectLst/>
            </c:spPr>
            <c:extLst>
              <c:ext xmlns:c16="http://schemas.microsoft.com/office/drawing/2014/chart" uri="{C3380CC4-5D6E-409C-BE32-E72D297353CC}">
                <c16:uniqueId val="{00000007-BF0C-45DE-A99A-653189323576}"/>
              </c:ext>
            </c:extLst>
          </c:dPt>
          <c:dPt>
            <c:idx val="2"/>
            <c:invertIfNegative val="0"/>
            <c:bubble3D val="0"/>
            <c:spPr>
              <a:solidFill>
                <a:schemeClr val="bg1"/>
              </a:solidFill>
              <a:ln>
                <a:noFill/>
              </a:ln>
              <a:effectLst/>
            </c:spPr>
            <c:extLst>
              <c:ext xmlns:c16="http://schemas.microsoft.com/office/drawing/2014/chart" uri="{C3380CC4-5D6E-409C-BE32-E72D297353CC}">
                <c16:uniqueId val="{00000006-BF0C-45DE-A99A-653189323576}"/>
              </c:ext>
            </c:extLst>
          </c:dPt>
          <c:dPt>
            <c:idx val="3"/>
            <c:invertIfNegative val="0"/>
            <c:bubble3D val="0"/>
            <c:spPr>
              <a:solidFill>
                <a:schemeClr val="bg1"/>
              </a:solidFill>
              <a:ln>
                <a:noFill/>
              </a:ln>
              <a:effectLst/>
            </c:spPr>
            <c:extLst>
              <c:ext xmlns:c16="http://schemas.microsoft.com/office/drawing/2014/chart" uri="{C3380CC4-5D6E-409C-BE32-E72D297353CC}">
                <c16:uniqueId val="{00000005-BF0C-45DE-A99A-653189323576}"/>
              </c:ext>
            </c:extLst>
          </c:dPt>
          <c:dPt>
            <c:idx val="4"/>
            <c:invertIfNegative val="0"/>
            <c:bubble3D val="0"/>
            <c:spPr>
              <a:solidFill>
                <a:schemeClr val="bg1"/>
              </a:solidFill>
              <a:ln>
                <a:noFill/>
              </a:ln>
              <a:effectLst/>
            </c:spPr>
            <c:extLst>
              <c:ext xmlns:c16="http://schemas.microsoft.com/office/drawing/2014/chart" uri="{C3380CC4-5D6E-409C-BE32-E72D297353CC}">
                <c16:uniqueId val="{00000004-BF0C-45DE-A99A-653189323576}"/>
              </c:ext>
            </c:extLst>
          </c:dPt>
          <c:dPt>
            <c:idx val="5"/>
            <c:invertIfNegative val="0"/>
            <c:bubble3D val="0"/>
            <c:spPr>
              <a:solidFill>
                <a:schemeClr val="bg1"/>
              </a:solidFill>
              <a:ln>
                <a:noFill/>
              </a:ln>
              <a:effectLst/>
            </c:spPr>
            <c:extLst>
              <c:ext xmlns:c16="http://schemas.microsoft.com/office/drawing/2014/chart" uri="{C3380CC4-5D6E-409C-BE32-E72D297353CC}">
                <c16:uniqueId val="{00000003-BF0C-45DE-A99A-653189323576}"/>
              </c:ext>
            </c:extLst>
          </c:dPt>
          <c:dPt>
            <c:idx val="6"/>
            <c:invertIfNegative val="0"/>
            <c:bubble3D val="0"/>
            <c:spPr>
              <a:solidFill>
                <a:schemeClr val="bg1"/>
              </a:solidFill>
              <a:ln>
                <a:noFill/>
              </a:ln>
              <a:effectLst/>
            </c:spPr>
            <c:extLst>
              <c:ext xmlns:c16="http://schemas.microsoft.com/office/drawing/2014/chart" uri="{C3380CC4-5D6E-409C-BE32-E72D297353CC}">
                <c16:uniqueId val="{00000002-BF0C-45DE-A99A-653189323576}"/>
              </c:ext>
            </c:extLst>
          </c:dPt>
          <c:dPt>
            <c:idx val="7"/>
            <c:invertIfNegative val="0"/>
            <c:bubble3D val="0"/>
            <c:spPr>
              <a:solidFill>
                <a:schemeClr val="bg1"/>
              </a:solidFill>
              <a:ln>
                <a:noFill/>
              </a:ln>
              <a:effectLst/>
            </c:spPr>
            <c:extLst>
              <c:ext xmlns:c16="http://schemas.microsoft.com/office/drawing/2014/chart" uri="{C3380CC4-5D6E-409C-BE32-E72D297353CC}">
                <c16:uniqueId val="{00000001-BF0C-45DE-A99A-653189323576}"/>
              </c:ext>
            </c:extLst>
          </c:dPt>
          <c:dPt>
            <c:idx val="8"/>
            <c:invertIfNegative val="0"/>
            <c:bubble3D val="0"/>
            <c:spPr>
              <a:solidFill>
                <a:schemeClr val="bg1"/>
              </a:solidFill>
              <a:ln>
                <a:noFill/>
              </a:ln>
              <a:effectLst/>
            </c:spPr>
            <c:extLst>
              <c:ext xmlns:c16="http://schemas.microsoft.com/office/drawing/2014/chart" uri="{C3380CC4-5D6E-409C-BE32-E72D297353CC}">
                <c16:uniqueId val="{00000000-BF0C-45DE-A99A-653189323576}"/>
              </c:ext>
            </c:extLst>
          </c:dPt>
          <c:dLbls>
            <c:dLbl>
              <c:idx val="0"/>
              <c:layout>
                <c:manualLayout>
                  <c:x val="4.1071431843899241E-3"/>
                  <c:y val="-0.16210532697888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0C-45DE-A99A-653189323576}"/>
                </c:ext>
              </c:extLst>
            </c:dLbl>
            <c:dLbl>
              <c:idx val="1"/>
              <c:layout>
                <c:manualLayout>
                  <c:x val="2.7380954562599494E-3"/>
                  <c:y val="-0.108070217985926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0C-45DE-A99A-653189323576}"/>
                </c:ext>
              </c:extLst>
            </c:dLbl>
            <c:dLbl>
              <c:idx val="2"/>
              <c:layout>
                <c:manualLayout>
                  <c:x val="0"/>
                  <c:y val="-9.005851498827202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0C-45DE-A99A-653189323576}"/>
                </c:ext>
              </c:extLst>
            </c:dLbl>
            <c:dLbl>
              <c:idx val="3"/>
              <c:layout>
                <c:manualLayout>
                  <c:x val="-5.4761909125198988E-3"/>
                  <c:y val="-0.209386047347732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0C-45DE-A99A-653189323576}"/>
                </c:ext>
              </c:extLst>
            </c:dLbl>
            <c:dLbl>
              <c:idx val="4"/>
              <c:layout>
                <c:manualLayout>
                  <c:x val="-2.7380954562599993E-3"/>
                  <c:y val="-0.119327532359460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0C-45DE-A99A-653189323576}"/>
                </c:ext>
              </c:extLst>
            </c:dLbl>
            <c:dLbl>
              <c:idx val="5"/>
              <c:layout>
                <c:manualLayout>
                  <c:x val="-1.0039567361680942E-16"/>
                  <c:y val="-4.50292574941360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0C-45DE-A99A-653189323576}"/>
                </c:ext>
              </c:extLst>
            </c:dLbl>
            <c:dLbl>
              <c:idx val="6"/>
              <c:layout>
                <c:manualLayout>
                  <c:x val="-1.0039567361680942E-16"/>
                  <c:y val="-3.827486887001561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0C-45DE-A99A-653189323576}"/>
                </c:ext>
              </c:extLst>
            </c:dLbl>
            <c:dLbl>
              <c:idx val="7"/>
              <c:layout>
                <c:manualLayout>
                  <c:x val="0"/>
                  <c:y val="-4.72807203688428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0C-45DE-A99A-653189323576}"/>
                </c:ext>
              </c:extLst>
            </c:dLbl>
            <c:dLbl>
              <c:idx val="8"/>
              <c:layout>
                <c:manualLayout>
                  <c:x val="-1.0039567361680942E-16"/>
                  <c:y val="-1.57602401229476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0C-45DE-A99A-653189323576}"/>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DATA'!$J$4:$J$13</c:f>
              <c:numCache>
                <c:formatCode>_-* #,##0_-;\-* #,##0_-;_-* "-"??_-;_-@</c:formatCode>
                <c:ptCount val="9"/>
                <c:pt idx="0">
                  <c:v>20000.000000000004</c:v>
                </c:pt>
                <c:pt idx="1">
                  <c:v>10000.000000000002</c:v>
                </c:pt>
                <c:pt idx="2">
                  <c:v>10000.000000000002</c:v>
                </c:pt>
                <c:pt idx="3">
                  <c:v>40000.000000000007</c:v>
                </c:pt>
                <c:pt idx="4">
                  <c:v>20000.000000000004</c:v>
                </c:pt>
                <c:pt idx="5">
                  <c:v>5999.9999999999991</c:v>
                </c:pt>
                <c:pt idx="6">
                  <c:v>5000.0000000000009</c:v>
                </c:pt>
                <c:pt idx="7">
                  <c:v>5000.0000000000009</c:v>
                </c:pt>
                <c:pt idx="8">
                  <c:v>2000.0000000000002</c:v>
                </c:pt>
              </c:numCache>
            </c:numRef>
          </c:val>
          <c:extLst>
            <c:ext xmlns:c16="http://schemas.microsoft.com/office/drawing/2014/chart" uri="{C3380CC4-5D6E-409C-BE32-E72D297353CC}">
              <c16:uniqueId val="{00000001-FE60-4769-B023-10C9DEA6B80C}"/>
            </c:ext>
          </c:extLst>
        </c:ser>
        <c:dLbls>
          <c:showLegendKey val="0"/>
          <c:showVal val="0"/>
          <c:showCatName val="0"/>
          <c:showSerName val="0"/>
          <c:showPercent val="0"/>
          <c:showBubbleSize val="0"/>
        </c:dLbls>
        <c:gapWidth val="150"/>
        <c:overlap val="100"/>
        <c:axId val="2097086639"/>
        <c:axId val="2094500399"/>
      </c:barChart>
      <c:catAx>
        <c:axId val="2097086639"/>
        <c:scaling>
          <c:orientation val="minMax"/>
        </c:scaling>
        <c:delete val="1"/>
        <c:axPos val="b"/>
        <c:numFmt formatCode="General" sourceLinked="1"/>
        <c:majorTickMark val="none"/>
        <c:minorTickMark val="none"/>
        <c:tickLblPos val="nextTo"/>
        <c:crossAx val="2094500399"/>
        <c:crosses val="autoZero"/>
        <c:auto val="1"/>
        <c:lblAlgn val="ctr"/>
        <c:lblOffset val="100"/>
        <c:noMultiLvlLbl val="0"/>
      </c:catAx>
      <c:valAx>
        <c:axId val="2094500399"/>
        <c:scaling>
          <c:orientation val="minMax"/>
        </c:scaling>
        <c:delete val="1"/>
        <c:axPos val="l"/>
        <c:numFmt formatCode="0%" sourceLinked="1"/>
        <c:majorTickMark val="none"/>
        <c:minorTickMark val="none"/>
        <c:tickLblPos val="nextTo"/>
        <c:crossAx val="2097086639"/>
        <c:crosses val="autoZero"/>
        <c:crossBetween val="between"/>
      </c:valAx>
      <c:spPr>
        <a:noFill/>
        <a:ln>
          <a:noFill/>
        </a:ln>
        <a:effectLst/>
      </c:spPr>
    </c:plotArea>
    <c:legend>
      <c:legendPos val="r"/>
      <c:layout>
        <c:manualLayout>
          <c:xMode val="edge"/>
          <c:yMode val="edge"/>
          <c:x val="0.88687299904781114"/>
          <c:y val="0.44564995212538983"/>
          <c:w val="0.10491271458340902"/>
          <c:h val="0.108700095749220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[Project-Students_dashboard_insights.xlsx]REAL DATA!PivotTable11</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circle"/>
          <c:size val="8"/>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4"/>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5"/>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6"/>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7"/>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8"/>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9"/>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10"/>
        <c:spPr>
          <a:ln w="28575" cap="rnd">
            <a:solidFill>
              <a:schemeClr val="tx2"/>
            </a:solidFill>
            <a:round/>
          </a:ln>
          <a:effectLst/>
        </c:spPr>
        <c:marker>
          <c:symbol val="circle"/>
          <c:size val="8"/>
          <c:spPr>
            <a:solidFill>
              <a:schemeClr val="tx1"/>
            </a:solidFill>
            <a:ln w="9525">
              <a:solidFill>
                <a:schemeClr val="tx1"/>
              </a:solidFill>
            </a:ln>
            <a:effectLst/>
          </c:spPr>
        </c:marker>
      </c:pivotFmt>
    </c:pivotFmts>
    <c:plotArea>
      <c:layout>
        <c:manualLayout>
          <c:layoutTarget val="inner"/>
          <c:xMode val="edge"/>
          <c:yMode val="edge"/>
          <c:x val="2.4999953075199512E-2"/>
          <c:y val="2.8394261438215635E-3"/>
          <c:w val="0.93888888888888888"/>
          <c:h val="0.72797535724701079"/>
        </c:manualLayout>
      </c:layout>
      <c:lineChart>
        <c:grouping val="standard"/>
        <c:varyColors val="0"/>
        <c:ser>
          <c:idx val="0"/>
          <c:order val="0"/>
          <c:tx>
            <c:strRef>
              <c:f>'REAL DATA'!$M$3</c:f>
              <c:strCache>
                <c:ptCount val="1"/>
                <c:pt idx="0">
                  <c:v>Total</c:v>
                </c:pt>
              </c:strCache>
            </c:strRef>
          </c:tx>
          <c:spPr>
            <a:ln w="28575" cap="rnd">
              <a:solidFill>
                <a:schemeClr val="tx2"/>
              </a:solidFill>
              <a:round/>
            </a:ln>
            <a:effectLst/>
          </c:spPr>
          <c:marker>
            <c:symbol val="circle"/>
            <c:size val="8"/>
            <c:spPr>
              <a:solidFill>
                <a:schemeClr val="tx1"/>
              </a:solidFill>
              <a:ln w="9525">
                <a:solidFill>
                  <a:schemeClr val="tx1"/>
                </a:solidFill>
              </a:ln>
              <a:effectLst/>
            </c:spPr>
          </c:marker>
          <c:dPt>
            <c:idx val="1"/>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3-65F6-49E5-AFF7-D4D6F4DEB326}"/>
              </c:ext>
            </c:extLst>
          </c:dPt>
          <c:dPt>
            <c:idx val="2"/>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2-65F6-49E5-AFF7-D4D6F4DEB326}"/>
              </c:ext>
            </c:extLst>
          </c:dPt>
          <c:dPt>
            <c:idx val="3"/>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4-DB6D-4257-B7E9-FA46B4111CF2}"/>
              </c:ext>
            </c:extLst>
          </c:dPt>
          <c:dPt>
            <c:idx val="4"/>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5-DB6D-4257-B7E9-FA46B4111CF2}"/>
              </c:ext>
            </c:extLst>
          </c:dPt>
          <c:dPt>
            <c:idx val="5"/>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6-DB6D-4257-B7E9-FA46B4111CF2}"/>
              </c:ext>
            </c:extLst>
          </c:dPt>
          <c:dPt>
            <c:idx val="6"/>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7-DB6D-4257-B7E9-FA46B4111CF2}"/>
              </c:ext>
            </c:extLst>
          </c:dPt>
          <c:dPt>
            <c:idx val="7"/>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8-DB6D-4257-B7E9-FA46B4111CF2}"/>
              </c:ext>
            </c:extLst>
          </c:dPt>
          <c:dPt>
            <c:idx val="8"/>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9-DB6D-4257-B7E9-FA46B4111CF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DATA'!$L$4:$L$13</c:f>
              <c:strCache>
                <c:ptCount val="9"/>
                <c:pt idx="0">
                  <c:v>Jan</c:v>
                </c:pt>
                <c:pt idx="1">
                  <c:v>Feb</c:v>
                </c:pt>
                <c:pt idx="2">
                  <c:v>Mar</c:v>
                </c:pt>
                <c:pt idx="3">
                  <c:v>Apr</c:v>
                </c:pt>
                <c:pt idx="4">
                  <c:v>May</c:v>
                </c:pt>
                <c:pt idx="5">
                  <c:v>Jun</c:v>
                </c:pt>
                <c:pt idx="6">
                  <c:v>Jul</c:v>
                </c:pt>
                <c:pt idx="7">
                  <c:v>Aug</c:v>
                </c:pt>
                <c:pt idx="8">
                  <c:v>Sep</c:v>
                </c:pt>
              </c:strCache>
            </c:strRef>
          </c:cat>
          <c:val>
            <c:numRef>
              <c:f>'REAL DATA'!$M$4:$M$13</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65F6-49E5-AFF7-D4D6F4DEB326}"/>
            </c:ext>
          </c:extLst>
        </c:ser>
        <c:dLbls>
          <c:dLblPos val="t"/>
          <c:showLegendKey val="0"/>
          <c:showVal val="1"/>
          <c:showCatName val="0"/>
          <c:showSerName val="0"/>
          <c:showPercent val="0"/>
          <c:showBubbleSize val="0"/>
        </c:dLbls>
        <c:marker val="1"/>
        <c:smooth val="0"/>
        <c:axId val="1888970735"/>
        <c:axId val="2094316079"/>
      </c:lineChart>
      <c:catAx>
        <c:axId val="188897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094316079"/>
        <c:crosses val="autoZero"/>
        <c:auto val="1"/>
        <c:lblAlgn val="ctr"/>
        <c:lblOffset val="100"/>
        <c:noMultiLvlLbl val="0"/>
      </c:catAx>
      <c:valAx>
        <c:axId val="2094316079"/>
        <c:scaling>
          <c:orientation val="minMax"/>
        </c:scaling>
        <c:delete val="1"/>
        <c:axPos val="l"/>
        <c:numFmt formatCode="General" sourceLinked="1"/>
        <c:majorTickMark val="out"/>
        <c:minorTickMark val="none"/>
        <c:tickLblPos val="nextTo"/>
        <c:crossAx val="1888970735"/>
        <c:crosses val="autoZero"/>
        <c:crossBetween val="between"/>
      </c:valAx>
      <c:spPr>
        <a:solidFill>
          <a:schemeClr val="bg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[Project-Students_dashboard_insights.xlsx]REAL DATA!PivotTable12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3683174231643"/>
          <c:y val="9.4411537556942909E-3"/>
          <c:w val="0.85197683177388295"/>
          <c:h val="0.99055884624430568"/>
        </c:manualLayout>
      </c:layout>
      <c:barChart>
        <c:barDir val="bar"/>
        <c:grouping val="clustered"/>
        <c:varyColors val="0"/>
        <c:ser>
          <c:idx val="0"/>
          <c:order val="0"/>
          <c:tx>
            <c:strRef>
              <c:f>'REAL DATA'!$P$3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DATA'!$O$4:$O$11</c:f>
              <c:strCache>
                <c:ptCount val="7"/>
                <c:pt idx="0">
                  <c:v>Argentina</c:v>
                </c:pt>
                <c:pt idx="1">
                  <c:v>Brazil</c:v>
                </c:pt>
                <c:pt idx="2">
                  <c:v>Chicaco</c:v>
                </c:pt>
                <c:pt idx="3">
                  <c:v>Chile</c:v>
                </c:pt>
                <c:pt idx="4">
                  <c:v>Columbia</c:v>
                </c:pt>
                <c:pt idx="5">
                  <c:v>Los Angeles</c:v>
                </c:pt>
                <c:pt idx="6">
                  <c:v>Peru</c:v>
                </c:pt>
              </c:strCache>
            </c:strRef>
          </c:cat>
          <c:val>
            <c:numRef>
              <c:f>'REAL DATA'!$P$4:$P$11</c:f>
              <c:numCache>
                <c:formatCode>#,##0</c:formatCode>
                <c:ptCount val="7"/>
                <c:pt idx="0">
                  <c:v>126081</c:v>
                </c:pt>
                <c:pt idx="1">
                  <c:v>129875</c:v>
                </c:pt>
                <c:pt idx="2">
                  <c:v>126793</c:v>
                </c:pt>
                <c:pt idx="3">
                  <c:v>128833</c:v>
                </c:pt>
                <c:pt idx="4">
                  <c:v>125980</c:v>
                </c:pt>
                <c:pt idx="5">
                  <c:v>126209</c:v>
                </c:pt>
                <c:pt idx="6">
                  <c:v>127340</c:v>
                </c:pt>
              </c:numCache>
            </c:numRef>
          </c:val>
          <c:extLst>
            <c:ext xmlns:c16="http://schemas.microsoft.com/office/drawing/2014/chart" uri="{C3380CC4-5D6E-409C-BE32-E72D297353CC}">
              <c16:uniqueId val="{00000000-0121-4C7E-8561-DA378C8590D2}"/>
            </c:ext>
          </c:extLst>
        </c:ser>
        <c:dLbls>
          <c:dLblPos val="outEnd"/>
          <c:showLegendKey val="0"/>
          <c:showVal val="1"/>
          <c:showCatName val="0"/>
          <c:showSerName val="0"/>
          <c:showPercent val="0"/>
          <c:showBubbleSize val="0"/>
        </c:dLbls>
        <c:gapWidth val="182"/>
        <c:axId val="2097085247"/>
        <c:axId val="2094521999"/>
      </c:barChart>
      <c:catAx>
        <c:axId val="209708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094521999"/>
        <c:crosses val="autoZero"/>
        <c:auto val="1"/>
        <c:lblAlgn val="ctr"/>
        <c:lblOffset val="100"/>
        <c:noMultiLvlLbl val="0"/>
      </c:catAx>
      <c:valAx>
        <c:axId val="2094521999"/>
        <c:scaling>
          <c:orientation val="minMax"/>
        </c:scaling>
        <c:delete val="1"/>
        <c:axPos val="b"/>
        <c:numFmt formatCode="#,##0" sourceLinked="1"/>
        <c:majorTickMark val="out"/>
        <c:minorTickMark val="none"/>
        <c:tickLblPos val="nextTo"/>
        <c:crossAx val="209708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162277</xdr:colOff>
      <xdr:row>15</xdr:row>
      <xdr:rowOff>176389</xdr:rowOff>
    </xdr:from>
    <xdr:to>
      <xdr:col>2</xdr:col>
      <xdr:colOff>1030111</xdr:colOff>
      <xdr:row>24</xdr:row>
      <xdr:rowOff>2495</xdr:rowOff>
    </xdr:to>
    <xdr:graphicFrame macro="">
      <xdr:nvGraphicFramePr>
        <xdr:cNvPr id="2" name="Chart 1">
          <a:extLst>
            <a:ext uri="{FF2B5EF4-FFF2-40B4-BE49-F238E27FC236}">
              <a16:creationId xmlns:a16="http://schemas.microsoft.com/office/drawing/2014/main" id="{87D21752-0BCE-3F7D-9BF8-117226856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1027416</xdr:colOff>
      <xdr:row>16</xdr:row>
      <xdr:rowOff>77055</xdr:rowOff>
    </xdr:from>
    <xdr:to>
      <xdr:col>4</xdr:col>
      <xdr:colOff>619542</xdr:colOff>
      <xdr:row>24</xdr:row>
      <xdr:rowOff>100083</xdr:rowOff>
    </xdr:to>
    <xdr:graphicFrame macro="">
      <xdr:nvGraphicFramePr>
        <xdr:cNvPr id="3" name="Chart 2">
          <a:extLst>
            <a:ext uri="{FF2B5EF4-FFF2-40B4-BE49-F238E27FC236}">
              <a16:creationId xmlns:a16="http://schemas.microsoft.com/office/drawing/2014/main" id="{334D453A-F658-447B-9DED-807017B37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821933</xdr:colOff>
      <xdr:row>16</xdr:row>
      <xdr:rowOff>119865</xdr:rowOff>
    </xdr:from>
    <xdr:to>
      <xdr:col>5</xdr:col>
      <xdr:colOff>405497</xdr:colOff>
      <xdr:row>24</xdr:row>
      <xdr:rowOff>142893</xdr:rowOff>
    </xdr:to>
    <xdr:graphicFrame macro="">
      <xdr:nvGraphicFramePr>
        <xdr:cNvPr id="4" name="Chart 3">
          <a:extLst>
            <a:ext uri="{FF2B5EF4-FFF2-40B4-BE49-F238E27FC236}">
              <a16:creationId xmlns:a16="http://schemas.microsoft.com/office/drawing/2014/main" id="{6641B7B4-91DC-42BD-A57F-374E23A93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513709</xdr:colOff>
      <xdr:row>16</xdr:row>
      <xdr:rowOff>96748</xdr:rowOff>
    </xdr:from>
    <xdr:to>
      <xdr:col>9</xdr:col>
      <xdr:colOff>1172967</xdr:colOff>
      <xdr:row>30</xdr:row>
      <xdr:rowOff>83050</xdr:rowOff>
    </xdr:to>
    <xdr:graphicFrame macro="">
      <xdr:nvGraphicFramePr>
        <xdr:cNvPr id="5" name="Chart 4">
          <a:extLst>
            <a:ext uri="{FF2B5EF4-FFF2-40B4-BE49-F238E27FC236}">
              <a16:creationId xmlns:a16="http://schemas.microsoft.com/office/drawing/2014/main" id="{DAD05922-C245-A8D9-F44D-AC22D9187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1309955</xdr:colOff>
      <xdr:row>17</xdr:row>
      <xdr:rowOff>113872</xdr:rowOff>
    </xdr:from>
    <xdr:to>
      <xdr:col>13</xdr:col>
      <xdr:colOff>1095910</xdr:colOff>
      <xdr:row>31</xdr:row>
      <xdr:rowOff>100173</xdr:rowOff>
    </xdr:to>
    <xdr:graphicFrame macro="">
      <xdr:nvGraphicFramePr>
        <xdr:cNvPr id="6" name="Chart 5">
          <a:extLst>
            <a:ext uri="{FF2B5EF4-FFF2-40B4-BE49-F238E27FC236}">
              <a16:creationId xmlns:a16="http://schemas.microsoft.com/office/drawing/2014/main" id="{B8722687-AC74-1590-F1EC-4A6ABA6E4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688731</xdr:colOff>
      <xdr:row>16</xdr:row>
      <xdr:rowOff>12839</xdr:rowOff>
    </xdr:from>
    <xdr:to>
      <xdr:col>22</xdr:col>
      <xdr:colOff>257059</xdr:colOff>
      <xdr:row>30</xdr:row>
      <xdr:rowOff>20655</xdr:rowOff>
    </xdr:to>
    <xdr:graphicFrame macro="">
      <xdr:nvGraphicFramePr>
        <xdr:cNvPr id="7" name="Chart 6">
          <a:extLst>
            <a:ext uri="{FF2B5EF4-FFF2-40B4-BE49-F238E27FC236}">
              <a16:creationId xmlns:a16="http://schemas.microsoft.com/office/drawing/2014/main" id="{976A1EE0-48BE-D4A6-9F78-B1E2A0C75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393756</xdr:colOff>
      <xdr:row>27</xdr:row>
      <xdr:rowOff>173087</xdr:rowOff>
    </xdr:from>
    <xdr:to>
      <xdr:col>4</xdr:col>
      <xdr:colOff>1555548</xdr:colOff>
      <xdr:row>41</xdr:row>
      <xdr:rowOff>107532</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14493FE5-E8A9-0614-672E-0567C0E175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819218" y="5712241"/>
              <a:ext cx="1835869" cy="2806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1864072</xdr:colOff>
      <xdr:row>28</xdr:row>
      <xdr:rowOff>43720</xdr:rowOff>
    </xdr:from>
    <xdr:to>
      <xdr:col>2</xdr:col>
      <xdr:colOff>287835</xdr:colOff>
      <xdr:row>41</xdr:row>
      <xdr:rowOff>183320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716D25F-84A4-BB25-EADD-D2A9DB403F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4072" y="5788028"/>
              <a:ext cx="1823455" cy="28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746865</xdr:colOff>
      <xdr:row>31</xdr:row>
      <xdr:rowOff>200878</xdr:rowOff>
    </xdr:from>
    <xdr:to>
      <xdr:col>7</xdr:col>
      <xdr:colOff>456028</xdr:colOff>
      <xdr:row>45</xdr:row>
      <xdr:rowOff>135324</xdr:rowOff>
    </xdr:to>
    <mc:AlternateContent xmlns:mc="http://schemas.openxmlformats.org/markup-compatibility/2006" xmlns:a14="http://schemas.microsoft.com/office/drawing/2010/main">
      <mc:Choice Requires="a14">
        <xdr:graphicFrame macro="">
          <xdr:nvGraphicFramePr>
            <xdr:cNvPr id="10" name="Quarter">
              <a:extLst>
                <a:ext uri="{FF2B5EF4-FFF2-40B4-BE49-F238E27FC236}">
                  <a16:creationId xmlns:a16="http://schemas.microsoft.com/office/drawing/2014/main" id="{E5891776-FB48-03E7-6CEE-8F1A345D6D7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751403" y="6560647"/>
              <a:ext cx="1833971" cy="28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181054</xdr:colOff>
      <xdr:row>48</xdr:row>
      <xdr:rowOff>10377</xdr:rowOff>
    </xdr:from>
    <xdr:to>
      <xdr:col>27</xdr:col>
      <xdr:colOff>666871</xdr:colOff>
      <xdr:row>61</xdr:row>
      <xdr:rowOff>149977</xdr:rowOff>
    </xdr:to>
    <mc:AlternateContent xmlns:mc="http://schemas.openxmlformats.org/markup-compatibility/2006" xmlns:a14="http://schemas.microsoft.com/office/drawing/2010/main">
      <mc:Choice Requires="a14">
        <xdr:graphicFrame macro="">
          <xdr:nvGraphicFramePr>
            <xdr:cNvPr id="11" name="Month 2">
              <a:extLst>
                <a:ext uri="{FF2B5EF4-FFF2-40B4-BE49-F238E27FC236}">
                  <a16:creationId xmlns:a16="http://schemas.microsoft.com/office/drawing/2014/main" id="{B34C30D8-10EE-47B2-B6BE-6F8CE6412C4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224477" y="9857762"/>
              <a:ext cx="1833971" cy="28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282677</xdr:colOff>
      <xdr:row>0</xdr:row>
      <xdr:rowOff>135193</xdr:rowOff>
    </xdr:from>
    <xdr:to>
      <xdr:col>4</xdr:col>
      <xdr:colOff>127572</xdr:colOff>
      <xdr:row>13</xdr:row>
      <xdr:rowOff>86032</xdr:rowOff>
    </xdr:to>
    <xdr:sp macro="" textlink="">
      <xdr:nvSpPr>
        <xdr:cNvPr id="2" name="Rectangle 1">
          <a:extLst>
            <a:ext uri="{FF2B5EF4-FFF2-40B4-BE49-F238E27FC236}">
              <a16:creationId xmlns:a16="http://schemas.microsoft.com/office/drawing/2014/main" id="{23CFB7DC-98AC-4569-3F37-6DA6DF9B4283}"/>
            </a:ext>
          </a:extLst>
        </xdr:cNvPr>
        <xdr:cNvSpPr/>
      </xdr:nvSpPr>
      <xdr:spPr>
        <a:xfrm>
          <a:off x="958645" y="135193"/>
          <a:ext cx="1872798" cy="2507226"/>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282678</xdr:colOff>
      <xdr:row>13</xdr:row>
      <xdr:rowOff>166698</xdr:rowOff>
    </xdr:from>
    <xdr:to>
      <xdr:col>4</xdr:col>
      <xdr:colOff>98323</xdr:colOff>
      <xdr:row>27</xdr:row>
      <xdr:rowOff>135193</xdr:rowOff>
    </xdr:to>
    <xdr:sp macro="" textlink="">
      <xdr:nvSpPr>
        <xdr:cNvPr id="3" name="Rectangle 2">
          <a:extLst>
            <a:ext uri="{FF2B5EF4-FFF2-40B4-BE49-F238E27FC236}">
              <a16:creationId xmlns:a16="http://schemas.microsoft.com/office/drawing/2014/main" id="{7826654B-1B6D-4FC6-BAA2-07637981C111}"/>
            </a:ext>
          </a:extLst>
        </xdr:cNvPr>
        <xdr:cNvSpPr/>
      </xdr:nvSpPr>
      <xdr:spPr>
        <a:xfrm>
          <a:off x="958646" y="2723085"/>
          <a:ext cx="1843548" cy="2721527"/>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294969</xdr:colOff>
      <xdr:row>28</xdr:row>
      <xdr:rowOff>49161</xdr:rowOff>
    </xdr:from>
    <xdr:to>
      <xdr:col>4</xdr:col>
      <xdr:colOff>98324</xdr:colOff>
      <xdr:row>35</xdr:row>
      <xdr:rowOff>76200</xdr:rowOff>
    </xdr:to>
    <xdr:sp macro="" textlink="">
      <xdr:nvSpPr>
        <xdr:cNvPr id="4" name="Rectangle 3">
          <a:extLst>
            <a:ext uri="{FF2B5EF4-FFF2-40B4-BE49-F238E27FC236}">
              <a16:creationId xmlns:a16="http://schemas.microsoft.com/office/drawing/2014/main" id="{6A5856FE-231D-40A2-85F9-EB1E3704C583}"/>
            </a:ext>
          </a:extLst>
        </xdr:cNvPr>
        <xdr:cNvSpPr/>
      </xdr:nvSpPr>
      <xdr:spPr>
        <a:xfrm>
          <a:off x="968069" y="5738761"/>
          <a:ext cx="1822655" cy="1449439"/>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231649</xdr:colOff>
      <xdr:row>0</xdr:row>
      <xdr:rowOff>131616</xdr:rowOff>
    </xdr:from>
    <xdr:to>
      <xdr:col>33</xdr:col>
      <xdr:colOff>454743</xdr:colOff>
      <xdr:row>44</xdr:row>
      <xdr:rowOff>99390</xdr:rowOff>
    </xdr:to>
    <xdr:sp macro="" textlink="">
      <xdr:nvSpPr>
        <xdr:cNvPr id="5" name="Rectangle 4">
          <a:extLst>
            <a:ext uri="{FF2B5EF4-FFF2-40B4-BE49-F238E27FC236}">
              <a16:creationId xmlns:a16="http://schemas.microsoft.com/office/drawing/2014/main" id="{DCD0F978-CCE1-493E-8DE9-DC9A553C54AD}"/>
            </a:ext>
          </a:extLst>
        </xdr:cNvPr>
        <xdr:cNvSpPr/>
      </xdr:nvSpPr>
      <xdr:spPr>
        <a:xfrm>
          <a:off x="2882084" y="131616"/>
          <a:ext cx="19438746" cy="8714209"/>
        </a:xfrm>
        <a:prstGeom prst="rect">
          <a:avLst/>
        </a:prstGeom>
        <a:solidFill>
          <a:schemeClr val="tx2">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341329</xdr:colOff>
      <xdr:row>0</xdr:row>
      <xdr:rowOff>186843</xdr:rowOff>
    </xdr:from>
    <xdr:to>
      <xdr:col>33</xdr:col>
      <xdr:colOff>417872</xdr:colOff>
      <xdr:row>6</xdr:row>
      <xdr:rowOff>28780</xdr:rowOff>
    </xdr:to>
    <xdr:sp macro="" textlink="">
      <xdr:nvSpPr>
        <xdr:cNvPr id="6" name="Rectangle: Rounded Corners 5">
          <a:extLst>
            <a:ext uri="{FF2B5EF4-FFF2-40B4-BE49-F238E27FC236}">
              <a16:creationId xmlns:a16="http://schemas.microsoft.com/office/drawing/2014/main" id="{2CCA679A-3B94-FE98-398F-4B7AB1CBDB32}"/>
            </a:ext>
          </a:extLst>
        </xdr:cNvPr>
        <xdr:cNvSpPr/>
      </xdr:nvSpPr>
      <xdr:spPr>
        <a:xfrm>
          <a:off x="3045200" y="186843"/>
          <a:ext cx="19679607" cy="102180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b="1">
              <a:solidFill>
                <a:schemeClr val="tx1"/>
              </a:solidFill>
              <a:latin typeface="Algerian" panose="04020705040A02060702" pitchFamily="82" charset="0"/>
            </a:rPr>
            <a:t>2023</a:t>
          </a:r>
          <a:r>
            <a:rPr lang="en-IN" sz="5400" b="1" baseline="0">
              <a:solidFill>
                <a:schemeClr val="tx1"/>
              </a:solidFill>
              <a:latin typeface="Algerian" panose="04020705040A02060702" pitchFamily="82" charset="0"/>
            </a:rPr>
            <a:t>  SALES  DASHBOARD</a:t>
          </a:r>
          <a:r>
            <a:rPr lang="en-IN" sz="5400" b="1">
              <a:solidFill>
                <a:schemeClr val="tx1"/>
              </a:solidFill>
              <a:latin typeface="Algerian" panose="04020705040A02060702" pitchFamily="82" charset="0"/>
            </a:rPr>
            <a:t> </a:t>
          </a:r>
        </a:p>
      </xdr:txBody>
    </xdr:sp>
    <xdr:clientData/>
  </xdr:twoCellAnchor>
  <xdr:twoCellAnchor>
    <xdr:from>
      <xdr:col>4</xdr:col>
      <xdr:colOff>324682</xdr:colOff>
      <xdr:row>6</xdr:row>
      <xdr:rowOff>111389</xdr:rowOff>
    </xdr:from>
    <xdr:to>
      <xdr:col>13</xdr:col>
      <xdr:colOff>454741</xdr:colOff>
      <xdr:row>10</xdr:row>
      <xdr:rowOff>149972</xdr:rowOff>
    </xdr:to>
    <xdr:sp macro="" textlink="">
      <xdr:nvSpPr>
        <xdr:cNvPr id="7" name="Rectangle: Rounded Corners 6">
          <a:extLst>
            <a:ext uri="{FF2B5EF4-FFF2-40B4-BE49-F238E27FC236}">
              <a16:creationId xmlns:a16="http://schemas.microsoft.com/office/drawing/2014/main" id="{1CCD59B5-B76A-47BF-90E3-FE34B398A72D}"/>
            </a:ext>
          </a:extLst>
        </xdr:cNvPr>
        <xdr:cNvSpPr/>
      </xdr:nvSpPr>
      <xdr:spPr>
        <a:xfrm>
          <a:off x="3028553" y="1291260"/>
          <a:ext cx="6213769" cy="825164"/>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Averia Serif" panose="02000603000000000004" pitchFamily="2" charset="0"/>
            </a:rPr>
            <a:t>SALES</a:t>
          </a:r>
        </a:p>
      </xdr:txBody>
    </xdr:sp>
    <xdr:clientData/>
  </xdr:twoCellAnchor>
  <xdr:twoCellAnchor>
    <xdr:from>
      <xdr:col>13</xdr:col>
      <xdr:colOff>540773</xdr:colOff>
      <xdr:row>6</xdr:row>
      <xdr:rowOff>101746</xdr:rowOff>
    </xdr:from>
    <xdr:to>
      <xdr:col>23</xdr:col>
      <xdr:colOff>0</xdr:colOff>
      <xdr:row>10</xdr:row>
      <xdr:rowOff>140329</xdr:rowOff>
    </xdr:to>
    <xdr:sp macro="" textlink="">
      <xdr:nvSpPr>
        <xdr:cNvPr id="8" name="Rectangle: Rounded Corners 7">
          <a:extLst>
            <a:ext uri="{FF2B5EF4-FFF2-40B4-BE49-F238E27FC236}">
              <a16:creationId xmlns:a16="http://schemas.microsoft.com/office/drawing/2014/main" id="{518C18AF-C2DD-47A7-90F1-B7E3FE12C166}"/>
            </a:ext>
          </a:extLst>
        </xdr:cNvPr>
        <xdr:cNvSpPr/>
      </xdr:nvSpPr>
      <xdr:spPr>
        <a:xfrm>
          <a:off x="9328354" y="1281617"/>
          <a:ext cx="6218904" cy="825164"/>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Averia Serif" panose="02000603000000000004" pitchFamily="2" charset="0"/>
            </a:rPr>
            <a:t>PROFIT</a:t>
          </a:r>
        </a:p>
      </xdr:txBody>
    </xdr:sp>
    <xdr:clientData/>
  </xdr:twoCellAnchor>
  <xdr:twoCellAnchor>
    <xdr:from>
      <xdr:col>23</xdr:col>
      <xdr:colOff>135195</xdr:colOff>
      <xdr:row>6</xdr:row>
      <xdr:rowOff>82456</xdr:rowOff>
    </xdr:from>
    <xdr:to>
      <xdr:col>33</xdr:col>
      <xdr:colOff>351754</xdr:colOff>
      <xdr:row>10</xdr:row>
      <xdr:rowOff>121039</xdr:rowOff>
    </xdr:to>
    <xdr:sp macro="" textlink="">
      <xdr:nvSpPr>
        <xdr:cNvPr id="9" name="Rectangle: Rounded Corners 8">
          <a:extLst>
            <a:ext uri="{FF2B5EF4-FFF2-40B4-BE49-F238E27FC236}">
              <a16:creationId xmlns:a16="http://schemas.microsoft.com/office/drawing/2014/main" id="{B13EB888-E7B1-461D-9B70-D64DE536F4EE}"/>
            </a:ext>
          </a:extLst>
        </xdr:cNvPr>
        <xdr:cNvSpPr/>
      </xdr:nvSpPr>
      <xdr:spPr>
        <a:xfrm>
          <a:off x="15682453" y="1262327"/>
          <a:ext cx="6976236" cy="825164"/>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Averia Serif" panose="02000603000000000004" pitchFamily="2" charset="0"/>
            </a:rPr>
            <a:t>CUSTOMERS</a:t>
          </a:r>
        </a:p>
      </xdr:txBody>
    </xdr:sp>
    <xdr:clientData/>
  </xdr:twoCellAnchor>
  <xdr:twoCellAnchor>
    <xdr:from>
      <xdr:col>4</xdr:col>
      <xdr:colOff>336039</xdr:colOff>
      <xdr:row>11</xdr:row>
      <xdr:rowOff>46516</xdr:rowOff>
    </xdr:from>
    <xdr:to>
      <xdr:col>18</xdr:col>
      <xdr:colOff>110613</xdr:colOff>
      <xdr:row>40</xdr:row>
      <xdr:rowOff>159775</xdr:rowOff>
    </xdr:to>
    <xdr:sp macro="" textlink="">
      <xdr:nvSpPr>
        <xdr:cNvPr id="10" name="Rectangle 9">
          <a:extLst>
            <a:ext uri="{FF2B5EF4-FFF2-40B4-BE49-F238E27FC236}">
              <a16:creationId xmlns:a16="http://schemas.microsoft.com/office/drawing/2014/main" id="{8244B2EA-7286-404B-B254-89818D8EC056}"/>
            </a:ext>
          </a:extLst>
        </xdr:cNvPr>
        <xdr:cNvSpPr/>
      </xdr:nvSpPr>
      <xdr:spPr>
        <a:xfrm>
          <a:off x="3039910" y="2209613"/>
          <a:ext cx="9238122" cy="5815968"/>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chemeClr val="tx1"/>
              </a:solidFill>
              <a:latin typeface="Averia Serif" panose="02000603000000000004" pitchFamily="2" charset="0"/>
              <a:ea typeface="+mn-ea"/>
              <a:cs typeface="+mn-cs"/>
            </a:rPr>
            <a:t>MONTH</a:t>
          </a:r>
          <a:r>
            <a:rPr lang="en-IN" sz="2000" b="1" baseline="0">
              <a:solidFill>
                <a:schemeClr val="tx1"/>
              </a:solidFill>
              <a:latin typeface="Averia Serif" panose="02000603000000000004" pitchFamily="2" charset="0"/>
              <a:ea typeface="+mn-ea"/>
              <a:cs typeface="+mn-cs"/>
            </a:rPr>
            <a:t>LY SALES VS TARGET SALES </a:t>
          </a:r>
          <a:endParaRPr lang="en-IN" sz="2000" b="1">
            <a:solidFill>
              <a:schemeClr val="tx1"/>
            </a:solidFill>
            <a:latin typeface="Averia Serif" panose="02000603000000000004" pitchFamily="2" charset="0"/>
            <a:ea typeface="+mn-ea"/>
            <a:cs typeface="+mn-cs"/>
          </a:endParaRPr>
        </a:p>
      </xdr:txBody>
    </xdr:sp>
    <xdr:clientData/>
  </xdr:twoCellAnchor>
  <xdr:twoCellAnchor>
    <xdr:from>
      <xdr:col>18</xdr:col>
      <xdr:colOff>221226</xdr:colOff>
      <xdr:row>11</xdr:row>
      <xdr:rowOff>43873</xdr:rowOff>
    </xdr:from>
    <xdr:to>
      <xdr:col>33</xdr:col>
      <xdr:colOff>344130</xdr:colOff>
      <xdr:row>25</xdr:row>
      <xdr:rowOff>24581</xdr:rowOff>
    </xdr:to>
    <xdr:sp macro="" textlink="">
      <xdr:nvSpPr>
        <xdr:cNvPr id="11" name="Rectangle 10">
          <a:extLst>
            <a:ext uri="{FF2B5EF4-FFF2-40B4-BE49-F238E27FC236}">
              <a16:creationId xmlns:a16="http://schemas.microsoft.com/office/drawing/2014/main" id="{D7885ABC-4165-4828-A154-23ECDA5A5102}"/>
            </a:ext>
          </a:extLst>
        </xdr:cNvPr>
        <xdr:cNvSpPr/>
      </xdr:nvSpPr>
      <xdr:spPr>
        <a:xfrm>
          <a:off x="12388645" y="2206970"/>
          <a:ext cx="10262420" cy="273374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chemeClr val="tx1"/>
              </a:solidFill>
              <a:latin typeface="Averia Serif" panose="02000603000000000004" pitchFamily="2" charset="0"/>
              <a:ea typeface="+mn-ea"/>
              <a:cs typeface="+mn-cs"/>
            </a:rPr>
            <a:t>MONTHLY</a:t>
          </a:r>
          <a:r>
            <a:rPr lang="en-IN" sz="2000" b="1" baseline="0">
              <a:solidFill>
                <a:schemeClr val="tx1"/>
              </a:solidFill>
              <a:latin typeface="Averia Serif" panose="02000603000000000004" pitchFamily="2" charset="0"/>
              <a:ea typeface="+mn-ea"/>
              <a:cs typeface="+mn-cs"/>
            </a:rPr>
            <a:t> CUSTOMERS</a:t>
          </a:r>
          <a:endParaRPr lang="en-IN" sz="2000" b="1">
            <a:solidFill>
              <a:schemeClr val="tx1"/>
            </a:solidFill>
            <a:latin typeface="Averia Serif" panose="02000603000000000004" pitchFamily="2" charset="0"/>
            <a:ea typeface="+mn-ea"/>
            <a:cs typeface="+mn-cs"/>
          </a:endParaRPr>
        </a:p>
      </xdr:txBody>
    </xdr:sp>
    <xdr:clientData/>
  </xdr:twoCellAnchor>
  <xdr:twoCellAnchor>
    <xdr:from>
      <xdr:col>18</xdr:col>
      <xdr:colOff>233516</xdr:colOff>
      <xdr:row>25</xdr:row>
      <xdr:rowOff>147484</xdr:rowOff>
    </xdr:from>
    <xdr:to>
      <xdr:col>33</xdr:col>
      <xdr:colOff>331839</xdr:colOff>
      <xdr:row>40</xdr:row>
      <xdr:rowOff>128973</xdr:rowOff>
    </xdr:to>
    <xdr:sp macro="" textlink="">
      <xdr:nvSpPr>
        <xdr:cNvPr id="12" name="Rectangle 11">
          <a:extLst>
            <a:ext uri="{FF2B5EF4-FFF2-40B4-BE49-F238E27FC236}">
              <a16:creationId xmlns:a16="http://schemas.microsoft.com/office/drawing/2014/main" id="{E0F8DDFD-4BC4-42F7-8D12-CF1A12EE45BD}"/>
            </a:ext>
          </a:extLst>
        </xdr:cNvPr>
        <xdr:cNvSpPr/>
      </xdr:nvSpPr>
      <xdr:spPr>
        <a:xfrm>
          <a:off x="12400935" y="5063613"/>
          <a:ext cx="10237839" cy="2931166"/>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ysClr val="windowText" lastClr="000000"/>
              </a:solidFill>
              <a:latin typeface="Averia Serif" panose="02000603000000000004" pitchFamily="2" charset="0"/>
              <a:ea typeface="+mn-ea"/>
              <a:cs typeface="+mn-cs"/>
            </a:rPr>
            <a:t>REGION WISE PROFIT</a:t>
          </a:r>
        </a:p>
      </xdr:txBody>
    </xdr:sp>
    <xdr:clientData/>
  </xdr:twoCellAnchor>
  <xdr:twoCellAnchor>
    <xdr:from>
      <xdr:col>6</xdr:col>
      <xdr:colOff>319548</xdr:colOff>
      <xdr:row>6</xdr:row>
      <xdr:rowOff>184354</xdr:rowOff>
    </xdr:from>
    <xdr:to>
      <xdr:col>9</xdr:col>
      <xdr:colOff>602225</xdr:colOff>
      <xdr:row>10</xdr:row>
      <xdr:rowOff>36870</xdr:rowOff>
    </xdr:to>
    <xdr:sp macro="" textlink="'REAL DATA'!$F$4">
      <xdr:nvSpPr>
        <xdr:cNvPr id="13" name="TextBox 12">
          <a:extLst>
            <a:ext uri="{FF2B5EF4-FFF2-40B4-BE49-F238E27FC236}">
              <a16:creationId xmlns:a16="http://schemas.microsoft.com/office/drawing/2014/main" id="{67C6637A-212E-F31E-313E-9AE904F31AD6}"/>
            </a:ext>
          </a:extLst>
        </xdr:cNvPr>
        <xdr:cNvSpPr txBox="1"/>
      </xdr:nvSpPr>
      <xdr:spPr>
        <a:xfrm>
          <a:off x="4375354" y="1364225"/>
          <a:ext cx="2310581" cy="639097"/>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384307-F9CD-4770-8402-ECC156FC4C40}" type="TxLink">
            <a:rPr lang="en-US" sz="3600" b="1" i="0" u="none" strike="noStrike">
              <a:solidFill>
                <a:schemeClr val="tx1"/>
              </a:solidFill>
              <a:latin typeface="Calibri"/>
              <a:ea typeface="Calibri"/>
              <a:cs typeface="Calibri"/>
            </a:rPr>
            <a:pPr/>
            <a:t>₹ 7,54,941</a:t>
          </a:fld>
          <a:endParaRPr lang="en-IN" sz="3200" b="1">
            <a:solidFill>
              <a:schemeClr val="tx1"/>
            </a:solidFill>
          </a:endParaRPr>
        </a:p>
      </xdr:txBody>
    </xdr:sp>
    <xdr:clientData/>
  </xdr:twoCellAnchor>
  <xdr:twoCellAnchor>
    <xdr:from>
      <xdr:col>15</xdr:col>
      <xdr:colOff>663678</xdr:colOff>
      <xdr:row>6</xdr:row>
      <xdr:rowOff>172065</xdr:rowOff>
    </xdr:from>
    <xdr:to>
      <xdr:col>19</xdr:col>
      <xdr:colOff>467033</xdr:colOff>
      <xdr:row>10</xdr:row>
      <xdr:rowOff>86033</xdr:rowOff>
    </xdr:to>
    <xdr:sp macro="" textlink="'REAL DATA'!$F$5">
      <xdr:nvSpPr>
        <xdr:cNvPr id="16" name="TextBox 15">
          <a:extLst>
            <a:ext uri="{FF2B5EF4-FFF2-40B4-BE49-F238E27FC236}">
              <a16:creationId xmlns:a16="http://schemas.microsoft.com/office/drawing/2014/main" id="{EEEABF07-0D37-496C-C15E-2DC888165CF1}"/>
            </a:ext>
          </a:extLst>
        </xdr:cNvPr>
        <xdr:cNvSpPr txBox="1"/>
      </xdr:nvSpPr>
      <xdr:spPr>
        <a:xfrm>
          <a:off x="10803194" y="1351936"/>
          <a:ext cx="2507226" cy="700549"/>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EF8C18-FFF5-47EA-A080-9CDC3A668A7A}" type="TxLink">
            <a:rPr lang="en-US" sz="3600" b="1" i="0" u="none" strike="noStrike">
              <a:solidFill>
                <a:schemeClr val="tx1"/>
              </a:solidFill>
              <a:latin typeface="Calibri"/>
              <a:ea typeface="Calibri"/>
              <a:cs typeface="Calibri"/>
            </a:rPr>
            <a:pPr/>
            <a:t>₹ 8,91,111</a:t>
          </a:fld>
          <a:endParaRPr lang="en-IN" sz="3200" b="1">
            <a:solidFill>
              <a:schemeClr val="tx1"/>
            </a:solidFill>
          </a:endParaRPr>
        </a:p>
      </xdr:txBody>
    </xdr:sp>
    <xdr:clientData/>
  </xdr:twoCellAnchor>
  <xdr:twoCellAnchor>
    <xdr:from>
      <xdr:col>26</xdr:col>
      <xdr:colOff>381000</xdr:colOff>
      <xdr:row>6</xdr:row>
      <xdr:rowOff>122902</xdr:rowOff>
    </xdr:from>
    <xdr:to>
      <xdr:col>29</xdr:col>
      <xdr:colOff>307258</xdr:colOff>
      <xdr:row>9</xdr:row>
      <xdr:rowOff>196644</xdr:rowOff>
    </xdr:to>
    <xdr:sp macro="" textlink="'REAL DATA'!$F$6">
      <xdr:nvSpPr>
        <xdr:cNvPr id="17" name="TextBox 16">
          <a:extLst>
            <a:ext uri="{FF2B5EF4-FFF2-40B4-BE49-F238E27FC236}">
              <a16:creationId xmlns:a16="http://schemas.microsoft.com/office/drawing/2014/main" id="{8B3AB950-F628-FBC3-FF87-5BB0E6DF95C2}"/>
            </a:ext>
          </a:extLst>
        </xdr:cNvPr>
        <xdr:cNvSpPr txBox="1"/>
      </xdr:nvSpPr>
      <xdr:spPr>
        <a:xfrm>
          <a:off x="17956161" y="1302773"/>
          <a:ext cx="1954162" cy="663677"/>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D6180A-B72F-443F-BC63-6285D5B062E6}" type="TxLink">
            <a:rPr lang="en-US" sz="4000" b="1" i="0" u="none" strike="noStrike">
              <a:solidFill>
                <a:sysClr val="windowText" lastClr="000000"/>
              </a:solidFill>
              <a:latin typeface="Calibri"/>
              <a:ea typeface="Calibri"/>
              <a:cs typeface="Calibri"/>
            </a:rPr>
            <a:pPr/>
            <a:t>9,360</a:t>
          </a:fld>
          <a:endParaRPr lang="en-IN" sz="3600" b="1">
            <a:solidFill>
              <a:sysClr val="windowText" lastClr="000000"/>
            </a:solidFill>
          </a:endParaRPr>
        </a:p>
      </xdr:txBody>
    </xdr:sp>
    <xdr:clientData/>
  </xdr:twoCellAnchor>
  <xdr:twoCellAnchor>
    <xdr:from>
      <xdr:col>10</xdr:col>
      <xdr:colOff>336973</xdr:colOff>
      <xdr:row>6</xdr:row>
      <xdr:rowOff>118241</xdr:rowOff>
    </xdr:from>
    <xdr:to>
      <xdr:col>12</xdr:col>
      <xdr:colOff>474911</xdr:colOff>
      <xdr:row>10</xdr:row>
      <xdr:rowOff>136253</xdr:rowOff>
    </xdr:to>
    <xdr:graphicFrame macro="">
      <xdr:nvGraphicFramePr>
        <xdr:cNvPr id="18" name="Chart 17">
          <a:extLst>
            <a:ext uri="{FF2B5EF4-FFF2-40B4-BE49-F238E27FC236}">
              <a16:creationId xmlns:a16="http://schemas.microsoft.com/office/drawing/2014/main" id="{799D27F1-9F92-4BE7-90B4-AAC3904DA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110613</xdr:colOff>
      <xdr:row>6</xdr:row>
      <xdr:rowOff>78218</xdr:rowOff>
    </xdr:from>
    <xdr:to>
      <xdr:col>32</xdr:col>
      <xdr:colOff>58373</xdr:colOff>
      <xdr:row>10</xdr:row>
      <xdr:rowOff>123636</xdr:rowOff>
    </xdr:to>
    <xdr:graphicFrame macro="">
      <xdr:nvGraphicFramePr>
        <xdr:cNvPr id="20" name="Chart 19">
          <a:extLst>
            <a:ext uri="{FF2B5EF4-FFF2-40B4-BE49-F238E27FC236}">
              <a16:creationId xmlns:a16="http://schemas.microsoft.com/office/drawing/2014/main" id="{9F0A7604-95CE-41C0-9642-1B4EA6D18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12289</xdr:colOff>
      <xdr:row>6</xdr:row>
      <xdr:rowOff>102577</xdr:rowOff>
    </xdr:from>
    <xdr:to>
      <xdr:col>21</xdr:col>
      <xdr:colOff>602627</xdr:colOff>
      <xdr:row>10</xdr:row>
      <xdr:rowOff>119530</xdr:rowOff>
    </xdr:to>
    <xdr:graphicFrame macro="">
      <xdr:nvGraphicFramePr>
        <xdr:cNvPr id="14" name="Chart 13">
          <a:extLst>
            <a:ext uri="{FF2B5EF4-FFF2-40B4-BE49-F238E27FC236}">
              <a16:creationId xmlns:a16="http://schemas.microsoft.com/office/drawing/2014/main" id="{EE9E5A72-06FC-4FE2-90F3-13FE24A3E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258305</xdr:colOff>
      <xdr:row>13</xdr:row>
      <xdr:rowOff>109879</xdr:rowOff>
    </xdr:from>
    <xdr:to>
      <xdr:col>18</xdr:col>
      <xdr:colOff>132521</xdr:colOff>
      <xdr:row>42</xdr:row>
      <xdr:rowOff>132521</xdr:rowOff>
    </xdr:to>
    <xdr:graphicFrame macro="">
      <xdr:nvGraphicFramePr>
        <xdr:cNvPr id="15" name="Chart 14">
          <a:extLst>
            <a:ext uri="{FF2B5EF4-FFF2-40B4-BE49-F238E27FC236}">
              <a16:creationId xmlns:a16="http://schemas.microsoft.com/office/drawing/2014/main" id="{C56E31B9-289C-4185-B823-87A80F17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274798</xdr:colOff>
      <xdr:row>13</xdr:row>
      <xdr:rowOff>51661</xdr:rowOff>
    </xdr:from>
    <xdr:to>
      <xdr:col>33</xdr:col>
      <xdr:colOff>332153</xdr:colOff>
      <xdr:row>24</xdr:row>
      <xdr:rowOff>106906</xdr:rowOff>
    </xdr:to>
    <xdr:graphicFrame macro="">
      <xdr:nvGraphicFramePr>
        <xdr:cNvPr id="21" name="Chart 20">
          <a:extLst>
            <a:ext uri="{FF2B5EF4-FFF2-40B4-BE49-F238E27FC236}">
              <a16:creationId xmlns:a16="http://schemas.microsoft.com/office/drawing/2014/main" id="{CF7CC577-63F1-42B3-93C1-8CA6298E8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206645</xdr:colOff>
      <xdr:row>27</xdr:row>
      <xdr:rowOff>102146</xdr:rowOff>
    </xdr:from>
    <xdr:to>
      <xdr:col>33</xdr:col>
      <xdr:colOff>322883</xdr:colOff>
      <xdr:row>43</xdr:row>
      <xdr:rowOff>0</xdr:rowOff>
    </xdr:to>
    <xdr:graphicFrame macro="">
      <xdr:nvGraphicFramePr>
        <xdr:cNvPr id="22" name="Chart 21">
          <a:extLst>
            <a:ext uri="{FF2B5EF4-FFF2-40B4-BE49-F238E27FC236}">
              <a16:creationId xmlns:a16="http://schemas.microsoft.com/office/drawing/2014/main" id="{B7344F01-7F88-4AEF-A068-4C4EBABE8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285545</xdr:colOff>
      <xdr:row>0</xdr:row>
      <xdr:rowOff>135193</xdr:rowOff>
    </xdr:from>
    <xdr:to>
      <xdr:col>4</xdr:col>
      <xdr:colOff>193729</xdr:colOff>
      <xdr:row>13</xdr:row>
      <xdr:rowOff>189168</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EB60B94E-A38B-4B60-A256-9D0680556B2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8645" y="13519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285546</xdr:colOff>
      <xdr:row>13</xdr:row>
      <xdr:rowOff>170385</xdr:rowOff>
    </xdr:from>
    <xdr:to>
      <xdr:col>4</xdr:col>
      <xdr:colOff>167898</xdr:colOff>
      <xdr:row>28</xdr:row>
      <xdr:rowOff>114300</xdr:rowOff>
    </xdr:to>
    <mc:AlternateContent xmlns:mc="http://schemas.openxmlformats.org/markup-compatibility/2006" xmlns:a14="http://schemas.microsoft.com/office/drawing/2010/main">
      <mc:Choice Requires="a14">
        <xdr:graphicFrame macro="">
          <xdr:nvGraphicFramePr>
            <xdr:cNvPr id="24" name="Month 1">
              <a:extLst>
                <a:ext uri="{FF2B5EF4-FFF2-40B4-BE49-F238E27FC236}">
                  <a16:creationId xmlns:a16="http://schemas.microsoft.com/office/drawing/2014/main" id="{4F1A60B6-D7F3-4FB1-8EFB-46550761B3B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57139" y="2688860"/>
              <a:ext cx="1897132" cy="2849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310537</xdr:colOff>
      <xdr:row>29</xdr:row>
      <xdr:rowOff>25831</xdr:rowOff>
    </xdr:from>
    <xdr:to>
      <xdr:col>4</xdr:col>
      <xdr:colOff>120037</xdr:colOff>
      <xdr:row>41</xdr:row>
      <xdr:rowOff>116238</xdr:rowOff>
    </xdr:to>
    <mc:AlternateContent xmlns:mc="http://schemas.openxmlformats.org/markup-compatibility/2006" xmlns:a14="http://schemas.microsoft.com/office/drawing/2010/main">
      <mc:Choice Requires="a14">
        <xdr:graphicFrame macro="">
          <xdr:nvGraphicFramePr>
            <xdr:cNvPr id="25" name="Quarter 1">
              <a:extLst>
                <a:ext uri="{FF2B5EF4-FFF2-40B4-BE49-F238E27FC236}">
                  <a16:creationId xmlns:a16="http://schemas.microsoft.com/office/drawing/2014/main" id="{72225199-A721-4083-812F-F3ECC7CC7772}"/>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982130" y="5643967"/>
              <a:ext cx="1824280" cy="2415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66.887162037034" createdVersion="8" refreshedVersion="8" minRefreshableVersion="3" recordCount="63" xr:uid="{FE392A09-69BD-46B6-9BEF-566BD3BE26C5}">
  <cacheSource type="worksheet">
    <worksheetSource name="Table1"/>
  </cacheSource>
  <cacheFields count="12">
    <cacheField name="Month" numFmtId="17">
      <sharedItems containsSemiMixedTypes="0" containsNonDate="0" containsDate="1" containsString="0" minDate="2023-01-01T00:00:00" maxDate="2023-09-02T00:00:00" count="9">
        <d v="2023-01-01T00:00:00"/>
        <d v="2023-02-01T00:00:00"/>
        <d v="2023-03-01T00:00:00"/>
        <d v="2023-04-01T00:00:00"/>
        <d v="2023-05-01T00:00:00"/>
        <d v="2023-06-01T00:00:00"/>
        <d v="2023-07-01T00:00:00"/>
        <d v="2023-08-01T00:00:00"/>
        <d v="2023-09-01T00:00:00"/>
      </sharedItems>
      <fieldGroup par="11"/>
    </cacheField>
    <cacheField name="Region" numFmtId="0">
      <sharedItems count="7">
        <s v="Argentina"/>
        <s v="Brazil"/>
        <s v="Chicaco"/>
        <s v="Chile"/>
        <s v="Columbia"/>
        <s v="Los Angeles"/>
        <s v="Peru"/>
      </sharedItems>
    </cacheField>
    <cacheField name="Sales" numFmtId="164">
      <sharedItems containsSemiMixedTypes="0" containsString="0" containsNumber="1" minValue="1500" maxValue="18571.428571428572"/>
    </cacheField>
    <cacheField name="Profit" numFmtId="0">
      <sharedItems containsSemiMixedTypes="0" containsString="0" containsNumber="1" containsInteger="1" minValue="2000" maxValue="25000"/>
    </cacheField>
    <cacheField name="Target Sales" numFmtId="164">
      <sharedItems containsSemiMixedTypes="0" containsString="0" containsNumber="1" minValue="285.71428571428572" maxValue="5714.2857142857147"/>
    </cacheField>
    <cacheField name="Customers" numFmtId="0">
      <sharedItems containsSemiMixedTypes="0" containsString="0" containsNumber="1" containsInteger="1" minValue="15" maxValue="310"/>
    </cacheField>
    <cacheField name="Quarter" numFmtId="0">
      <sharedItems count="3">
        <s v="Quarter 1"/>
        <s v="Quarter 2"/>
        <s v="Quarter 3"/>
      </sharedItems>
    </cacheField>
    <cacheField name="Sales Completion Rate" numFmtId="9">
      <sharedItems containsSemiMixedTypes="0" containsString="0" containsNumber="1" minValue="0.7" maxValue="0.99"/>
    </cacheField>
    <cacheField name="Profit Completion Rate" numFmtId="9">
      <sharedItems containsSemiMixedTypes="0" containsString="0" containsNumber="1" minValue="0.7" maxValue="0.99"/>
    </cacheField>
    <cacheField name="Customer Completion Rate" numFmtId="9">
      <sharedItems containsSemiMixedTypes="0" containsString="0" containsNumber="1" minValue="0.7" maxValue="0.99"/>
    </cacheField>
    <cacheField name="Days (Month)" numFmtId="0" databaseField="0">
      <fieldGroup base="0">
        <rangePr groupBy="days" startDate="2023-01-01T00:00:00" endDate="2023-09-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9-2023"/>
        </groupItems>
      </fieldGroup>
    </cacheField>
    <cacheField name="Months (Month)" numFmtId="0" databaseField="0">
      <fieldGroup base="0">
        <rangePr groupBy="months" startDate="2023-01-01T00:00:00" endDate="2023-09-02T00:00:00"/>
        <groupItems count="14">
          <s v="&lt;01-01-2023"/>
          <s v="Jan"/>
          <s v="Feb"/>
          <s v="Mar"/>
          <s v="Apr"/>
          <s v="May"/>
          <s v="Jun"/>
          <s v="Jul"/>
          <s v="Aug"/>
          <s v="Sep"/>
          <s v="Oct"/>
          <s v="Nov"/>
          <s v="Dec"/>
          <s v="&gt;02-09-2023"/>
        </groupItems>
      </fieldGroup>
    </cacheField>
  </cacheFields>
  <extLst>
    <ext xmlns:x14="http://schemas.microsoft.com/office/spreadsheetml/2009/9/main" uri="{725AE2AE-9491-48be-B2B4-4EB974FC3084}">
      <x14:pivotCacheDefinition pivotCacheId="16210250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66.888930208333" createdVersion="8" refreshedVersion="8" minRefreshableVersion="3" recordCount="3" xr:uid="{453D19B1-7430-42BC-B4EA-B03757932E9B}">
  <cacheSource type="worksheet">
    <worksheetSource ref="F3:F6" sheet="REAL DATA"/>
  </cacheSource>
  <cacheFields count="1">
    <cacheField name="Headers" numFmtId="0">
      <sharedItems containsMixedTypes="1" containsNumber="1" minValue="754940.69999999937" maxValue="754940.699999999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n v="5000"/>
    <n v="2581"/>
    <n v="2857.1428571428573"/>
    <n v="80"/>
    <x v="0"/>
    <n v="0.89"/>
    <n v="0.85"/>
    <n v="0.72"/>
  </r>
  <r>
    <x v="0"/>
    <x v="1"/>
    <n v="3500"/>
    <n v="3944"/>
    <n v="2857.1428571428573"/>
    <n v="30"/>
    <x v="0"/>
    <n v="0.94"/>
    <n v="0.95"/>
    <n v="0.86"/>
  </r>
  <r>
    <x v="0"/>
    <x v="2"/>
    <n v="1500"/>
    <n v="3293"/>
    <n v="2857.1428571428573"/>
    <n v="15"/>
    <x v="0"/>
    <n v="0.82"/>
    <n v="0.8"/>
    <n v="0.76"/>
  </r>
  <r>
    <x v="0"/>
    <x v="3"/>
    <n v="1500"/>
    <n v="2019"/>
    <n v="2857.1428571428573"/>
    <n v="40"/>
    <x v="0"/>
    <n v="0.79"/>
    <n v="0.79"/>
    <n v="0.79"/>
  </r>
  <r>
    <x v="0"/>
    <x v="4"/>
    <n v="6000"/>
    <n v="2980"/>
    <n v="2857.1428571428573"/>
    <n v="100"/>
    <x v="0"/>
    <n v="0.96"/>
    <n v="0.79"/>
    <n v="0.7"/>
  </r>
  <r>
    <x v="0"/>
    <x v="5"/>
    <n v="2500"/>
    <n v="2209"/>
    <n v="2857.1428571428573"/>
    <n v="15"/>
    <x v="0"/>
    <n v="0.79"/>
    <n v="0.79"/>
    <n v="0.77"/>
  </r>
  <r>
    <x v="0"/>
    <x v="6"/>
    <n v="10000"/>
    <n v="2440"/>
    <n v="2857.1428571428573"/>
    <n v="20"/>
    <x v="0"/>
    <n v="0.75"/>
    <n v="0.72"/>
    <n v="0.93"/>
  </r>
  <r>
    <x v="1"/>
    <x v="0"/>
    <n v="5000"/>
    <n v="2000"/>
    <n v="1428.5714285714287"/>
    <n v="90"/>
    <x v="0"/>
    <n v="0.92"/>
    <n v="0.99"/>
    <n v="0.74"/>
  </r>
  <r>
    <x v="1"/>
    <x v="1"/>
    <n v="15000"/>
    <n v="14431"/>
    <n v="1428.5714285714287"/>
    <n v="30"/>
    <x v="0"/>
    <n v="0.7"/>
    <n v="0.99"/>
    <n v="0.95"/>
  </r>
  <r>
    <x v="1"/>
    <x v="2"/>
    <n v="1500"/>
    <n v="3000"/>
    <n v="1428.5714285714287"/>
    <n v="15"/>
    <x v="0"/>
    <n v="0.91"/>
    <n v="0.98"/>
    <n v="0.89"/>
  </r>
  <r>
    <x v="1"/>
    <x v="3"/>
    <n v="3500"/>
    <n v="4000"/>
    <n v="1428.5714285714287"/>
    <n v="40"/>
    <x v="0"/>
    <n v="0.74"/>
    <n v="0.85"/>
    <n v="0.7"/>
  </r>
  <r>
    <x v="1"/>
    <x v="4"/>
    <n v="6000"/>
    <n v="2000"/>
    <n v="1428.5714285714287"/>
    <n v="100"/>
    <x v="0"/>
    <n v="0.9"/>
    <n v="0.9"/>
    <n v="0.72"/>
  </r>
  <r>
    <x v="1"/>
    <x v="5"/>
    <n v="4000"/>
    <n v="2000"/>
    <n v="1428.5714285714287"/>
    <n v="15"/>
    <x v="0"/>
    <n v="0.95"/>
    <n v="0.97"/>
    <n v="0.81"/>
  </r>
  <r>
    <x v="1"/>
    <x v="6"/>
    <n v="10000"/>
    <n v="2000"/>
    <n v="1428.5714285714287"/>
    <n v="20"/>
    <x v="0"/>
    <n v="0.99"/>
    <n v="0.79"/>
    <n v="0.75"/>
  </r>
  <r>
    <x v="2"/>
    <x v="0"/>
    <n v="8571.4285714285706"/>
    <n v="4000"/>
    <n v="1428.5714285714287"/>
    <n v="45"/>
    <x v="0"/>
    <n v="0.86"/>
    <n v="0.97"/>
    <n v="0.89"/>
  </r>
  <r>
    <x v="2"/>
    <x v="1"/>
    <n v="8571.4285714285706"/>
    <n v="6000"/>
    <n v="1428.5714285714287"/>
    <n v="43"/>
    <x v="0"/>
    <n v="0.83"/>
    <n v="0.72"/>
    <n v="0.74"/>
  </r>
  <r>
    <x v="2"/>
    <x v="2"/>
    <n v="8571.4285714285706"/>
    <n v="6500"/>
    <n v="1428.5714285714287"/>
    <n v="43"/>
    <x v="0"/>
    <n v="0.74"/>
    <n v="0.78"/>
    <n v="0.94"/>
  </r>
  <r>
    <x v="2"/>
    <x v="3"/>
    <n v="8571.4285714285706"/>
    <n v="12000"/>
    <n v="1428.5714285714287"/>
    <n v="43"/>
    <x v="0"/>
    <n v="0.8"/>
    <n v="0.84"/>
    <n v="0.81"/>
  </r>
  <r>
    <x v="2"/>
    <x v="4"/>
    <n v="8571.4285714285706"/>
    <n v="3000"/>
    <n v="1428.5714285714287"/>
    <n v="43"/>
    <x v="0"/>
    <n v="0.89"/>
    <n v="0.99"/>
    <n v="0.97"/>
  </r>
  <r>
    <x v="2"/>
    <x v="5"/>
    <n v="8571.4285714285706"/>
    <n v="2000"/>
    <n v="1428.5714285714287"/>
    <n v="40"/>
    <x v="0"/>
    <n v="0.71"/>
    <n v="0.87"/>
    <n v="0.94"/>
  </r>
  <r>
    <x v="2"/>
    <x v="6"/>
    <n v="8571.4285714285706"/>
    <n v="2000"/>
    <n v="1428.5714285714287"/>
    <n v="43"/>
    <x v="0"/>
    <n v="0.9"/>
    <n v="0.72"/>
    <n v="0.94"/>
  </r>
  <r>
    <x v="3"/>
    <x v="0"/>
    <n v="7857.1428571428569"/>
    <n v="3000"/>
    <n v="5714.2857142857147"/>
    <n v="100"/>
    <x v="1"/>
    <n v="0.89"/>
    <n v="0.85"/>
    <n v="0.87"/>
  </r>
  <r>
    <x v="3"/>
    <x v="1"/>
    <n v="7857.1428571428569"/>
    <n v="4500"/>
    <n v="5714.2857142857147"/>
    <n v="100"/>
    <x v="1"/>
    <n v="0.89"/>
    <n v="0.8"/>
    <n v="0.88"/>
  </r>
  <r>
    <x v="3"/>
    <x v="2"/>
    <n v="7857.1428571428569"/>
    <n v="5500"/>
    <n v="5714.2857142857147"/>
    <n v="100"/>
    <x v="1"/>
    <n v="0.98"/>
    <n v="0.99"/>
    <n v="0.81"/>
  </r>
  <r>
    <x v="3"/>
    <x v="3"/>
    <n v="7857.1428571428569"/>
    <n v="10000"/>
    <n v="5714.2857142857147"/>
    <n v="100"/>
    <x v="1"/>
    <n v="0.81"/>
    <n v="0.91"/>
    <n v="0.95"/>
  </r>
  <r>
    <x v="3"/>
    <x v="4"/>
    <n v="7857.1428571428569"/>
    <n v="2000"/>
    <n v="5714.2857142857147"/>
    <n v="100"/>
    <x v="1"/>
    <n v="0.97"/>
    <n v="0.85"/>
    <n v="0.85"/>
  </r>
  <r>
    <x v="3"/>
    <x v="5"/>
    <n v="7857.1428571428569"/>
    <n v="2000"/>
    <n v="5714.2857142857147"/>
    <n v="100"/>
    <x v="1"/>
    <n v="0.89"/>
    <n v="0.94"/>
    <n v="0.8"/>
  </r>
  <r>
    <x v="3"/>
    <x v="6"/>
    <n v="7857.1428571428569"/>
    <n v="2000"/>
    <n v="5714.2857142857147"/>
    <n v="100"/>
    <x v="1"/>
    <n v="0.88"/>
    <n v="0.94"/>
    <n v="0.7"/>
  </r>
  <r>
    <x v="4"/>
    <x v="0"/>
    <n v="11428.571428571429"/>
    <n v="20000"/>
    <n v="2857.1428571428573"/>
    <n v="90"/>
    <x v="1"/>
    <n v="0.75"/>
    <n v="0.77"/>
    <n v="0.84"/>
  </r>
  <r>
    <x v="4"/>
    <x v="1"/>
    <n v="11428.571428571429"/>
    <n v="17000"/>
    <n v="2857.1428571428573"/>
    <n v="80"/>
    <x v="1"/>
    <n v="0.73"/>
    <n v="0.96"/>
    <n v="0.93"/>
  </r>
  <r>
    <x v="4"/>
    <x v="2"/>
    <n v="11428.571428571429"/>
    <n v="16000"/>
    <n v="2857.1428571428573"/>
    <n v="90"/>
    <x v="1"/>
    <n v="0.93"/>
    <n v="0.74"/>
    <n v="0.93"/>
  </r>
  <r>
    <x v="4"/>
    <x v="3"/>
    <n v="11428.571428571429"/>
    <n v="12000"/>
    <n v="2857.1428571428573"/>
    <n v="110"/>
    <x v="1"/>
    <n v="0.85"/>
    <n v="0.7"/>
    <n v="0.99"/>
  </r>
  <r>
    <x v="4"/>
    <x v="4"/>
    <n v="11428.571428571429"/>
    <n v="20500"/>
    <n v="2857.1428571428573"/>
    <n v="90"/>
    <x v="1"/>
    <n v="0.92"/>
    <n v="0.99"/>
    <n v="0.88"/>
  </r>
  <r>
    <x v="4"/>
    <x v="5"/>
    <n v="11428.571428571429"/>
    <n v="21000"/>
    <n v="2857.1428571428573"/>
    <n v="100"/>
    <x v="1"/>
    <n v="0.75"/>
    <n v="0.97"/>
    <n v="0.83"/>
  </r>
  <r>
    <x v="4"/>
    <x v="6"/>
    <n v="11428.571428571429"/>
    <n v="21500"/>
    <n v="2857.1428571428573"/>
    <n v="90"/>
    <x v="1"/>
    <n v="0.77"/>
    <n v="0.97"/>
    <n v="0.78"/>
  </r>
  <r>
    <x v="5"/>
    <x v="0"/>
    <n v="14285.714285714286"/>
    <n v="22000"/>
    <n v="857.14285714285711"/>
    <n v="228"/>
    <x v="1"/>
    <n v="0.79"/>
    <n v="0.75"/>
    <n v="0.93"/>
  </r>
  <r>
    <x v="5"/>
    <x v="1"/>
    <n v="14285.714285714286"/>
    <n v="18000"/>
    <n v="857.14285714285711"/>
    <n v="220"/>
    <x v="1"/>
    <n v="0.81"/>
    <n v="0.98"/>
    <n v="0.86"/>
  </r>
  <r>
    <x v="5"/>
    <x v="2"/>
    <n v="14285.714285714286"/>
    <n v="18500"/>
    <n v="857.14285714285711"/>
    <n v="228"/>
    <x v="1"/>
    <n v="0.86"/>
    <n v="0.82"/>
    <n v="0.86"/>
  </r>
  <r>
    <x v="5"/>
    <x v="3"/>
    <n v="14285.714285714286"/>
    <n v="14314"/>
    <n v="857.14285714285711"/>
    <n v="238"/>
    <x v="1"/>
    <n v="0.72"/>
    <n v="0.95"/>
    <n v="0.9"/>
  </r>
  <r>
    <x v="5"/>
    <x v="4"/>
    <n v="14285.714285714286"/>
    <n v="21000"/>
    <n v="857.14285714285711"/>
    <n v="228"/>
    <x v="1"/>
    <n v="0.71"/>
    <n v="0.8"/>
    <n v="0.76"/>
  </r>
  <r>
    <x v="5"/>
    <x v="5"/>
    <n v="14285.714285714286"/>
    <n v="22500"/>
    <n v="857.14285714285711"/>
    <n v="230"/>
    <x v="1"/>
    <n v="0.97"/>
    <n v="0.95"/>
    <n v="0.85"/>
  </r>
  <r>
    <x v="5"/>
    <x v="6"/>
    <n v="14285.714285714286"/>
    <n v="22900"/>
    <n v="857.14285714285711"/>
    <n v="228"/>
    <x v="1"/>
    <n v="0.95"/>
    <n v="0.85"/>
    <n v="0.91"/>
  </r>
  <r>
    <x v="6"/>
    <x v="0"/>
    <n v="18562.957142857143"/>
    <n v="25000"/>
    <n v="714.28571428571433"/>
    <n v="250"/>
    <x v="2"/>
    <n v="0.97"/>
    <n v="0.7"/>
    <n v="0.93"/>
  </r>
  <r>
    <x v="6"/>
    <x v="1"/>
    <n v="18562.957142857143"/>
    <n v="22000"/>
    <n v="714.28571428571433"/>
    <n v="240"/>
    <x v="2"/>
    <n v="0.9"/>
    <n v="0.98"/>
    <n v="0.96"/>
  </r>
  <r>
    <x v="6"/>
    <x v="2"/>
    <n v="18562.957142857143"/>
    <n v="25000"/>
    <n v="714.28571428571433"/>
    <n v="270"/>
    <x v="2"/>
    <n v="0.9"/>
    <n v="0.95"/>
    <n v="0.98"/>
  </r>
  <r>
    <x v="6"/>
    <x v="3"/>
    <n v="18562.957142857143"/>
    <n v="25000"/>
    <n v="714.28571428571433"/>
    <n v="259"/>
    <x v="2"/>
    <n v="0.96"/>
    <n v="0.81"/>
    <n v="0.85"/>
  </r>
  <r>
    <x v="6"/>
    <x v="4"/>
    <n v="18562.957142857143"/>
    <n v="25000"/>
    <n v="714.28571428571433"/>
    <n v="260"/>
    <x v="2"/>
    <n v="0.98"/>
    <n v="0.84"/>
    <n v="0.89"/>
  </r>
  <r>
    <x v="6"/>
    <x v="5"/>
    <n v="18562.957142857143"/>
    <n v="25000"/>
    <n v="714.28571428571433"/>
    <n v="260"/>
    <x v="2"/>
    <n v="0.76"/>
    <n v="0.7"/>
    <n v="0.86"/>
  </r>
  <r>
    <x v="6"/>
    <x v="6"/>
    <n v="18562.957142857143"/>
    <n v="25000"/>
    <n v="714.28571428571433"/>
    <n v="261"/>
    <x v="2"/>
    <n v="0.91"/>
    <n v="0.77"/>
    <n v="0.75"/>
  </r>
  <r>
    <x v="7"/>
    <x v="0"/>
    <n v="18571.428571428572"/>
    <n v="25000"/>
    <n v="714.28571428571433"/>
    <n v="242"/>
    <x v="2"/>
    <n v="0.79"/>
    <n v="0.81"/>
    <n v="0.74"/>
  </r>
  <r>
    <x v="7"/>
    <x v="1"/>
    <n v="18571.428571428572"/>
    <n v="22500"/>
    <n v="714.28571428571433"/>
    <n v="250"/>
    <x v="2"/>
    <n v="0.85"/>
    <n v="0.82"/>
    <n v="0.73"/>
  </r>
  <r>
    <x v="7"/>
    <x v="2"/>
    <n v="18571.428571428572"/>
    <n v="25000"/>
    <n v="714.28571428571433"/>
    <n v="242"/>
    <x v="2"/>
    <n v="0.88"/>
    <n v="0.84"/>
    <n v="0.75"/>
  </r>
  <r>
    <x v="7"/>
    <x v="3"/>
    <n v="18571.428571428572"/>
    <n v="25000"/>
    <n v="714.28571428571433"/>
    <n v="242"/>
    <x v="2"/>
    <n v="0.81"/>
    <n v="0.92"/>
    <n v="0.91"/>
  </r>
  <r>
    <x v="7"/>
    <x v="4"/>
    <n v="18571.428571428572"/>
    <n v="25000"/>
    <n v="714.28571428571433"/>
    <n v="242"/>
    <x v="2"/>
    <n v="0.84"/>
    <n v="0.73"/>
    <n v="0.99"/>
  </r>
  <r>
    <x v="7"/>
    <x v="5"/>
    <n v="18571.428571428572"/>
    <n v="25000"/>
    <n v="714.28571428571433"/>
    <n v="240"/>
    <x v="2"/>
    <n v="0.93"/>
    <n v="0.79"/>
    <n v="0.72"/>
  </r>
  <r>
    <x v="7"/>
    <x v="6"/>
    <n v="18571.428571428572"/>
    <n v="25000"/>
    <n v="714.28571428571433"/>
    <n v="242"/>
    <x v="2"/>
    <n v="0.84"/>
    <n v="0.79"/>
    <n v="0.8"/>
  </r>
  <r>
    <x v="8"/>
    <x v="0"/>
    <n v="17857.142857142859"/>
    <n v="22500"/>
    <n v="285.71428571428572"/>
    <n v="285"/>
    <x v="2"/>
    <n v="0.85"/>
    <n v="0.91"/>
    <n v="0.84"/>
  </r>
  <r>
    <x v="8"/>
    <x v="1"/>
    <n v="17857.142857142859"/>
    <n v="21500"/>
    <n v="285.71428571428572"/>
    <n v="275"/>
    <x v="2"/>
    <n v="0.86"/>
    <n v="0.75"/>
    <n v="0.96"/>
  </r>
  <r>
    <x v="8"/>
    <x v="2"/>
    <n v="17857.142857142859"/>
    <n v="24000"/>
    <n v="285.71428571428572"/>
    <n v="285"/>
    <x v="2"/>
    <n v="0.96"/>
    <n v="0.77"/>
    <n v="0.92"/>
  </r>
  <r>
    <x v="8"/>
    <x v="3"/>
    <n v="17857.142857142859"/>
    <n v="24500"/>
    <n v="285.71428571428572"/>
    <n v="290"/>
    <x v="2"/>
    <n v="0.99"/>
    <n v="0.97"/>
    <n v="0.73"/>
  </r>
  <r>
    <x v="8"/>
    <x v="4"/>
    <n v="17857.142857142859"/>
    <n v="24500"/>
    <n v="285.71428571428572"/>
    <n v="310"/>
    <x v="2"/>
    <n v="0.77"/>
    <n v="0.72"/>
    <n v="0.85"/>
  </r>
  <r>
    <x v="8"/>
    <x v="5"/>
    <n v="17857.142857142859"/>
    <n v="24500"/>
    <n v="285.71428571428572"/>
    <n v="270"/>
    <x v="2"/>
    <n v="0.77"/>
    <n v="0.96"/>
    <n v="0.78"/>
  </r>
  <r>
    <x v="8"/>
    <x v="6"/>
    <n v="17857.142857142859"/>
    <n v="24500"/>
    <n v="285.71428571428572"/>
    <n v="285"/>
    <x v="2"/>
    <n v="0.78"/>
    <n v="0.8"/>
    <n v="0.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754940.69999999937"/>
  </r>
  <r>
    <e v="#REF!"/>
  </r>
  <r>
    <e v="#R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02187D-6D78-4901-9D34-3EACA70DEDDE}"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numFmtId="9" showAll="0"/>
    <pivotField dataField="1"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ofit Completion Rate" fld="8"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BB4AD-DEB9-4FD4-A93A-C7349DCF2206}"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P11" firstHeaderRow="1" firstDataRow="1" firstDataCol="1"/>
  <pivotFields count="12">
    <pivotField numFmtId="17" showAll="0">
      <items count="10">
        <item x="0"/>
        <item x="1"/>
        <item x="2"/>
        <item x="3"/>
        <item x="4"/>
        <item x="5"/>
        <item x="6"/>
        <item x="7"/>
        <item x="8"/>
        <item t="default"/>
      </items>
    </pivotField>
    <pivotField axis="axisRow" showAll="0">
      <items count="8">
        <item x="0"/>
        <item x="1"/>
        <item x="2"/>
        <item x="3"/>
        <item x="4"/>
        <item x="5"/>
        <item x="6"/>
        <item t="default"/>
      </items>
    </pivotField>
    <pivotField numFmtId="164" showAll="0"/>
    <pivotField dataField="1" showAll="0"/>
    <pivotField numFmtId="164" showAll="0"/>
    <pivotField showAll="0"/>
    <pivotField showAll="0">
      <items count="4">
        <item x="0"/>
        <item x="1"/>
        <item x="2"/>
        <item t="default"/>
      </items>
    </pivotField>
    <pivotField numFmtId="9" showAll="0"/>
    <pivotField numFmtId="9"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8">
    <i>
      <x/>
    </i>
    <i>
      <x v="1"/>
    </i>
    <i>
      <x v="2"/>
    </i>
    <i>
      <x v="3"/>
    </i>
    <i>
      <x v="4"/>
    </i>
    <i>
      <x v="5"/>
    </i>
    <i>
      <x v="6"/>
    </i>
    <i t="grand">
      <x/>
    </i>
  </rowItems>
  <colItems count="1">
    <i/>
  </colItems>
  <dataFields count="1">
    <dataField name="Sum of Profit" fld="3" baseField="0" baseItem="0" numFmtId="3"/>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9EE202-10AF-4097-A327-B826B9B00FA5}"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numFmtId="9" showAll="0"/>
    <pivotField numFmtId="9"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ustomer Completion Rate" fld="9"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ACBAD1-213B-4621-AB19-F47AA69D904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dataField="1" numFmtId="9" showAll="0"/>
    <pivotField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Completion Rate" fld="7"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AC62C-953E-4126-89D5-17FEA2C27A4F}"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13" firstHeaderRow="1" firstDataRow="1" firstDataCol="1"/>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dataField="1" showAll="0"/>
    <pivotField showAll="0">
      <items count="4">
        <item x="0"/>
        <item x="1"/>
        <item x="2"/>
        <item t="default"/>
      </items>
    </pivotField>
    <pivotField numFmtId="9" showAll="0"/>
    <pivotField numFmtId="9" showAll="0"/>
    <pivotField numFmtId="9"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1"/>
  </rowFields>
  <rowItems count="10">
    <i>
      <x v="1"/>
    </i>
    <i>
      <x v="2"/>
    </i>
    <i>
      <x v="3"/>
    </i>
    <i>
      <x v="4"/>
    </i>
    <i>
      <x v="5"/>
    </i>
    <i>
      <x v="6"/>
    </i>
    <i>
      <x v="7"/>
    </i>
    <i>
      <x v="8"/>
    </i>
    <i>
      <x v="9"/>
    </i>
    <i t="grand">
      <x/>
    </i>
  </rowItems>
  <colItems count="1">
    <i/>
  </colItems>
  <dataFields count="1">
    <dataField name="Sum of Customers" fld="5"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4"/>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2" format="6">
      <pivotArea type="data" outline="0" fieldPosition="0">
        <references count="2">
          <reference field="4294967294" count="1" selected="0">
            <x v="0"/>
          </reference>
          <reference field="11" count="1" selected="0">
            <x v="6"/>
          </reference>
        </references>
      </pivotArea>
    </chartFormat>
    <chartFormat chart="2" format="7">
      <pivotArea type="data" outline="0" fieldPosition="0">
        <references count="2">
          <reference field="4294967294" count="1" selected="0">
            <x v="0"/>
          </reference>
          <reference field="11" count="1" selected="0">
            <x v="5"/>
          </reference>
        </references>
      </pivotArea>
    </chartFormat>
    <chartFormat chart="2" format="8">
      <pivotArea type="data" outline="0" fieldPosition="0">
        <references count="2">
          <reference field="4294967294" count="1" selected="0">
            <x v="0"/>
          </reference>
          <reference field="11" count="1" selected="0">
            <x v="7"/>
          </reference>
        </references>
      </pivotArea>
    </chartFormat>
    <chartFormat chart="2" format="9">
      <pivotArea type="data" outline="0" fieldPosition="0">
        <references count="2">
          <reference field="4294967294" count="1" selected="0">
            <x v="0"/>
          </reference>
          <reference field="11" count="1" selected="0">
            <x v="8"/>
          </reference>
        </references>
      </pivotArea>
    </chartFormat>
    <chartFormat chart="2" format="10">
      <pivotArea type="data" outline="0" fieldPosition="0">
        <references count="2">
          <reference field="4294967294" count="1" selected="0">
            <x v="0"/>
          </reference>
          <reference field="11"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7AD557-3F2F-45BB-A517-35A56B953BDE}" name="PivotTable4"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dataField="1" numFmtId="164" showAll="0"/>
    <pivotField dataField="1" showAll="0"/>
    <pivotField numFmtId="164" showAll="0"/>
    <pivotField dataField="1" showAll="0"/>
    <pivotField showAll="0">
      <items count="4">
        <item x="0"/>
        <item x="1"/>
        <item x="2"/>
        <item t="default"/>
      </items>
    </pivotField>
    <pivotField numFmtId="9" showAll="0"/>
    <pivotField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i="1">
      <x v="1"/>
    </i>
    <i i="2">
      <x v="2"/>
    </i>
  </rowItems>
  <colItems count="1">
    <i/>
  </colItems>
  <dataFields count="3">
    <dataField name="Sum of Sales" fld="2" baseField="0" baseItem="0" numFmtId="164"/>
    <dataField name="Sum of Profit" fld="3" baseField="0" baseItem="0"/>
    <dataField name="Sum of Customers" fld="5" baseField="0" baseItem="0"/>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8F6C39-637B-4017-A55A-7AC1F73E60B6}" name="PivotTable6" cacheId="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 firstHeaderRow="0" firstDataRow="0" firstDataCol="0"/>
  <pivotFields count="1">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58C1A6-BD97-4771-84C2-7D4ED9D52AC7}"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J13" firstHeaderRow="0" firstDataRow="1" firstDataCol="1"/>
  <pivotFields count="12">
    <pivotField axis="axisRow" numFmtId="17" showAll="0">
      <items count="10">
        <item x="0"/>
        <item x="1"/>
        <item x="2"/>
        <item x="3"/>
        <item x="4"/>
        <item x="5"/>
        <item x="6"/>
        <item x="7"/>
        <item x="8"/>
        <item t="default"/>
      </items>
    </pivotField>
    <pivotField showAll="0">
      <items count="8">
        <item x="0"/>
        <item x="1"/>
        <item x="2"/>
        <item x="3"/>
        <item x="4"/>
        <item x="5"/>
        <item x="6"/>
        <item t="default"/>
      </items>
    </pivotField>
    <pivotField dataField="1" numFmtId="164" showAll="0"/>
    <pivotField showAll="0"/>
    <pivotField dataField="1" numFmtId="164" showAll="0"/>
    <pivotField showAll="0"/>
    <pivotField showAll="0">
      <items count="4">
        <item x="0"/>
        <item x="1"/>
        <item x="2"/>
        <item t="default"/>
      </items>
    </pivotField>
    <pivotField numFmtId="9" showAll="0"/>
    <pivotField numFmtId="9"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Sales" fld="2" baseField="0" baseItem="0" numFmtId="164"/>
    <dataField name="Sum of Target Sales" fld="4" baseField="0" baseItem="0" numFmtId="164"/>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0" count="1" selected="0">
            <x v="8"/>
          </reference>
        </references>
      </pivotArea>
    </chartFormat>
    <chartFormat chart="2" format="7">
      <pivotArea type="data" outline="0" fieldPosition="0">
        <references count="2">
          <reference field="4294967294" count="1" selected="0">
            <x v="1"/>
          </reference>
          <reference field="0" count="1" selected="0">
            <x v="7"/>
          </reference>
        </references>
      </pivotArea>
    </chartFormat>
    <chartFormat chart="2" format="8">
      <pivotArea type="data" outline="0" fieldPosition="0">
        <references count="2">
          <reference field="4294967294" count="1" selected="0">
            <x v="1"/>
          </reference>
          <reference field="0" count="1" selected="0">
            <x v="6"/>
          </reference>
        </references>
      </pivotArea>
    </chartFormat>
    <chartFormat chart="2" format="9">
      <pivotArea type="data" outline="0" fieldPosition="0">
        <references count="2">
          <reference field="4294967294" count="1" selected="0">
            <x v="1"/>
          </reference>
          <reference field="0" count="1" selected="0">
            <x v="5"/>
          </reference>
        </references>
      </pivotArea>
    </chartFormat>
    <chartFormat chart="2" format="10">
      <pivotArea type="data" outline="0" fieldPosition="0">
        <references count="2">
          <reference field="4294967294" count="1" selected="0">
            <x v="1"/>
          </reference>
          <reference field="0" count="1" selected="0">
            <x v="4"/>
          </reference>
        </references>
      </pivotArea>
    </chartFormat>
    <chartFormat chart="2" format="11">
      <pivotArea type="data" outline="0" fieldPosition="0">
        <references count="2">
          <reference field="4294967294" count="1" selected="0">
            <x v="1"/>
          </reference>
          <reference field="0" count="1" selected="0">
            <x v="3"/>
          </reference>
        </references>
      </pivotArea>
    </chartFormat>
    <chartFormat chart="2" format="12">
      <pivotArea type="data" outline="0" fieldPosition="0">
        <references count="2">
          <reference field="4294967294" count="1" selected="0">
            <x v="1"/>
          </reference>
          <reference field="0" count="1" selected="0">
            <x v="2"/>
          </reference>
        </references>
      </pivotArea>
    </chartFormat>
    <chartFormat chart="2" format="13">
      <pivotArea type="data" outline="0" fieldPosition="0">
        <references count="2">
          <reference field="4294967294" count="1" selected="0">
            <x v="1"/>
          </reference>
          <reference field="0" count="1" selected="0">
            <x v="1"/>
          </reference>
        </references>
      </pivotArea>
    </chartFormat>
    <chartFormat chart="2" format="14">
      <pivotArea type="data" outline="0" fieldPosition="0">
        <references count="2">
          <reference field="4294967294" count="1" selected="0">
            <x v="1"/>
          </reference>
          <reference field="0"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 chart="2" format="21">
      <pivotArea type="data" outline="0" fieldPosition="0">
        <references count="2">
          <reference field="4294967294" count="1" selected="0">
            <x v="0"/>
          </reference>
          <reference field="0" count="1" selected="0">
            <x v="6"/>
          </reference>
        </references>
      </pivotArea>
    </chartFormat>
    <chartFormat chart="2" format="22">
      <pivotArea type="data" outline="0" fieldPosition="0">
        <references count="2">
          <reference field="4294967294" count="1" selected="0">
            <x v="0"/>
          </reference>
          <reference field="0" count="1" selected="0">
            <x v="7"/>
          </reference>
        </references>
      </pivotArea>
    </chartFormat>
    <chartFormat chart="2" format="23">
      <pivotArea type="data" outline="0" fieldPosition="0">
        <references count="2">
          <reference field="4294967294" count="1" selected="0">
            <x v="0"/>
          </reference>
          <reference field="0" count="1" selected="0">
            <x v="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D8AC92-AF5D-4E61-9A8D-0730635ABA51}" sourceName="Month">
  <pivotTables>
    <pivotTable tabId="5" name="PivotTable12"/>
    <pivotTable tabId="5" name="PivotTable10"/>
    <pivotTable tabId="5" name="PivotTable11"/>
    <pivotTable tabId="5" name="PivotTable4"/>
    <pivotTable tabId="5" name="PivotTable7"/>
    <pivotTable tabId="5" name="PivotTable8"/>
    <pivotTable tabId="5" name="PivotTable9"/>
  </pivotTables>
  <data>
    <tabular pivotCacheId="1621025065">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5D3447-231E-41AD-91A7-D7F6EA096241}" sourceName="Region">
  <pivotTables>
    <pivotTable tabId="5" name="PivotTable12"/>
    <pivotTable tabId="5" name="PivotTable10"/>
    <pivotTable tabId="5" name="PivotTable11"/>
    <pivotTable tabId="5" name="PivotTable4"/>
    <pivotTable tabId="5" name="PivotTable7"/>
    <pivotTable tabId="5" name="PivotTable8"/>
    <pivotTable tabId="5" name="PivotTable9"/>
  </pivotTables>
  <data>
    <tabular pivotCacheId="1621025065">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E1AD693-8F0A-46E3-945B-3E86B27E3DAF}" sourceName="Quarter">
  <pivotTables>
    <pivotTable tabId="5" name="PivotTable12"/>
    <pivotTable tabId="5" name="PivotTable10"/>
    <pivotTable tabId="5" name="PivotTable11"/>
    <pivotTable tabId="5" name="PivotTable4"/>
    <pivotTable tabId="5" name="PivotTable7"/>
    <pivotTable tabId="5" name="PivotTable8"/>
    <pivotTable tabId="5" name="PivotTable9"/>
  </pivotTables>
  <data>
    <tabular pivotCacheId="16210250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F40023E-D950-4CD4-A105-4E5281EB631B}" cache="Slicer_Month" caption="Month" style="SlicerStyleDark6" rowHeight="260350"/>
  <slicer name="Month 2" xr10:uid="{2C6EE363-A9EA-4949-BF21-95B73E1B9C4E}" cache="Slicer_Month" caption="Month" style="SlicerStyleDark6" rowHeight="260350"/>
  <slicer name="Region" xr10:uid="{7AD87D0E-DF81-496D-BCA3-2552F35C664F}" cache="Slicer_Region" caption="Region" style="SlicerStyleDark6" rowHeight="260350"/>
  <slicer name="Quarter" xr10:uid="{627BA3B3-89E4-463A-B21A-26E8EFB7689E}" cache="Slicer_Quarter" caption="Quarter" style="SlicerStyleDark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4C27ABA-0A75-4E83-A80E-482FABD6843A}" cache="Slicer_Month" caption="Month" style="SlicerStyleOther1" rowHeight="260350"/>
  <slicer name="Region 1" xr10:uid="{DC0C6302-B3A0-43E2-A471-57E3D7A1875D}" cache="Slicer_Region" caption="Region" style="SlicerStyleOther1" rowHeight="260350"/>
  <slicer name="Quarter 1" xr10:uid="{8A8B521E-2B8C-4450-9928-2C27F0B53D55}" cache="Slicer_Quarter" caption="Quarter" style="SlicerStyleOther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7355E7-A55D-43AC-89D5-70200D903279}" name="Table1" displayName="Table1" ref="A1:J64" totalsRowShown="0" headerRowDxfId="13" dataDxfId="12">
  <autoFilter ref="A1:J64" xr:uid="{1E7355E7-A55D-43AC-89D5-70200D903279}"/>
  <tableColumns count="10">
    <tableColumn id="1" xr3:uid="{4A4E72D4-9E22-4374-A0EC-16D4D81DDEF5}" name="Month" dataDxfId="11"/>
    <tableColumn id="2" xr3:uid="{19659D0D-A2F4-4F52-A5BC-555D6E9D1FCA}" name="Region" dataDxfId="10"/>
    <tableColumn id="3" xr3:uid="{7C384F8B-995C-44EF-A72E-D5FF5070637D}" name="Sales" dataDxfId="9"/>
    <tableColumn id="4" xr3:uid="{BBE50526-5369-4EFC-B018-516A89A2FF90}" name="Profit" dataDxfId="8"/>
    <tableColumn id="5" xr3:uid="{88A8C147-4428-488B-9753-2409CC33BAEB}" name="Target Sales" dataDxfId="7"/>
    <tableColumn id="6" xr3:uid="{D1F0F47C-F80D-43DA-934B-483F4E5A58A9}" name="Customers" dataDxfId="6"/>
    <tableColumn id="7" xr3:uid="{8AC7886D-5F38-44DB-8D70-F1F97A4FDE2A}" name="Quarter" dataDxfId="5"/>
    <tableColumn id="8" xr3:uid="{2E1C75FE-DA4A-451B-98A8-0F4A4DAE119D}" name="Sales Completion Rate" dataDxfId="4"/>
    <tableColumn id="9" xr3:uid="{AB32F37C-2FF3-4912-8411-D30D5DC56B10}" name="Profit Completion Rate" dataDxfId="3"/>
    <tableColumn id="10" xr3:uid="{D864FE77-D679-4476-B16C-3F7A91542F85}" name="Customer Completion Rate" dataDxfId="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4"/>
  <sheetViews>
    <sheetView topLeftCell="A2" workbookViewId="0">
      <selection sqref="A1:J64"/>
    </sheetView>
  </sheetViews>
  <sheetFormatPr defaultColWidth="11.19921875" defaultRowHeight="15" customHeight="1" x14ac:dyDescent="0.3"/>
  <cols>
    <col min="1" max="1" width="8.3984375" customWidth="1"/>
    <col min="2" max="2" width="10.19921875" customWidth="1"/>
    <col min="3" max="3" width="8.3984375" customWidth="1"/>
    <col min="4" max="4" width="9.8984375" customWidth="1"/>
    <col min="5" max="5" width="12.69921875" customWidth="1"/>
    <col min="6" max="6" width="11.69921875" customWidth="1"/>
    <col min="7" max="7" width="9.69921875" customWidth="1"/>
    <col min="8" max="8" width="21.3984375" customWidth="1"/>
    <col min="9" max="9" width="21.796875" customWidth="1"/>
    <col min="10" max="10" width="25.296875" customWidth="1"/>
    <col min="11" max="26" width="8.59765625" customWidth="1"/>
  </cols>
  <sheetData>
    <row r="1" spans="1:10" ht="15" customHeight="1" x14ac:dyDescent="0.3">
      <c r="A1" s="10" t="s">
        <v>0</v>
      </c>
      <c r="B1" s="10" t="s">
        <v>1</v>
      </c>
      <c r="C1" s="10" t="s">
        <v>2</v>
      </c>
      <c r="D1" s="10" t="s">
        <v>3</v>
      </c>
      <c r="E1" s="10" t="s">
        <v>4</v>
      </c>
      <c r="F1" s="10" t="s">
        <v>5</v>
      </c>
      <c r="G1" s="10" t="s">
        <v>6</v>
      </c>
      <c r="H1" s="10" t="s">
        <v>7</v>
      </c>
      <c r="I1" s="10" t="s">
        <v>8</v>
      </c>
      <c r="J1" s="10" t="s">
        <v>9</v>
      </c>
    </row>
    <row r="2" spans="1:10" ht="15" customHeight="1" x14ac:dyDescent="0.3">
      <c r="A2" s="11">
        <v>44927</v>
      </c>
      <c r="B2" s="12" t="s">
        <v>10</v>
      </c>
      <c r="C2" s="13">
        <v>5000</v>
      </c>
      <c r="D2" s="13">
        <v>2581</v>
      </c>
      <c r="E2" s="13">
        <v>2857.1428571428573</v>
      </c>
      <c r="F2" s="12">
        <v>80</v>
      </c>
      <c r="G2" s="13" t="s">
        <v>11</v>
      </c>
      <c r="H2" s="14">
        <v>0.89</v>
      </c>
      <c r="I2" s="14">
        <v>0.85</v>
      </c>
      <c r="J2" s="14">
        <v>0.72</v>
      </c>
    </row>
    <row r="3" spans="1:10" ht="15" customHeight="1" x14ac:dyDescent="0.3">
      <c r="A3" s="15">
        <v>44927</v>
      </c>
      <c r="B3" s="16" t="s">
        <v>12</v>
      </c>
      <c r="C3" s="17">
        <v>3500</v>
      </c>
      <c r="D3" s="17">
        <v>3944</v>
      </c>
      <c r="E3" s="17">
        <v>2857.1428571428573</v>
      </c>
      <c r="F3" s="16">
        <v>30</v>
      </c>
      <c r="G3" s="17" t="s">
        <v>11</v>
      </c>
      <c r="H3" s="18">
        <v>0.94</v>
      </c>
      <c r="I3" s="18">
        <v>0.95</v>
      </c>
      <c r="J3" s="18">
        <v>0.86</v>
      </c>
    </row>
    <row r="4" spans="1:10" ht="15" customHeight="1" x14ac:dyDescent="0.3">
      <c r="A4" s="11">
        <v>44927</v>
      </c>
      <c r="B4" s="12" t="s">
        <v>13</v>
      </c>
      <c r="C4" s="13">
        <v>1500</v>
      </c>
      <c r="D4" s="12">
        <v>3293</v>
      </c>
      <c r="E4" s="13">
        <v>2857.1428571428573</v>
      </c>
      <c r="F4" s="12">
        <v>15</v>
      </c>
      <c r="G4" s="13" t="s">
        <v>11</v>
      </c>
      <c r="H4" s="14">
        <v>0.82</v>
      </c>
      <c r="I4" s="14">
        <v>0.8</v>
      </c>
      <c r="J4" s="14">
        <v>0.76</v>
      </c>
    </row>
    <row r="5" spans="1:10" ht="15" customHeight="1" x14ac:dyDescent="0.3">
      <c r="A5" s="15">
        <v>44927</v>
      </c>
      <c r="B5" s="16" t="s">
        <v>14</v>
      </c>
      <c r="C5" s="17">
        <v>1500</v>
      </c>
      <c r="D5" s="16">
        <v>2019</v>
      </c>
      <c r="E5" s="17">
        <v>2857.1428571428573</v>
      </c>
      <c r="F5" s="16">
        <v>40</v>
      </c>
      <c r="G5" s="17" t="s">
        <v>11</v>
      </c>
      <c r="H5" s="18">
        <v>0.79</v>
      </c>
      <c r="I5" s="18">
        <v>0.79</v>
      </c>
      <c r="J5" s="18">
        <v>0.79</v>
      </c>
    </row>
    <row r="6" spans="1:10" ht="15" customHeight="1" x14ac:dyDescent="0.3">
      <c r="A6" s="11">
        <v>44927</v>
      </c>
      <c r="B6" s="12" t="s">
        <v>15</v>
      </c>
      <c r="C6" s="13">
        <v>6000</v>
      </c>
      <c r="D6" s="12">
        <v>2980</v>
      </c>
      <c r="E6" s="13">
        <v>2857.1428571428573</v>
      </c>
      <c r="F6" s="12">
        <v>100</v>
      </c>
      <c r="G6" s="13" t="s">
        <v>11</v>
      </c>
      <c r="H6" s="14">
        <v>0.96</v>
      </c>
      <c r="I6" s="14">
        <v>0.79</v>
      </c>
      <c r="J6" s="14">
        <v>0.7</v>
      </c>
    </row>
    <row r="7" spans="1:10" ht="15" customHeight="1" x14ac:dyDescent="0.3">
      <c r="A7" s="15">
        <v>44927</v>
      </c>
      <c r="B7" s="16" t="s">
        <v>16</v>
      </c>
      <c r="C7" s="17">
        <v>2500</v>
      </c>
      <c r="D7" s="16">
        <v>2209</v>
      </c>
      <c r="E7" s="17">
        <v>2857.1428571428573</v>
      </c>
      <c r="F7" s="16">
        <v>15</v>
      </c>
      <c r="G7" s="17" t="s">
        <v>11</v>
      </c>
      <c r="H7" s="18">
        <v>0.79</v>
      </c>
      <c r="I7" s="18">
        <v>0.79</v>
      </c>
      <c r="J7" s="18">
        <v>0.77</v>
      </c>
    </row>
    <row r="8" spans="1:10" ht="15" customHeight="1" x14ac:dyDescent="0.3">
      <c r="A8" s="11">
        <v>44927</v>
      </c>
      <c r="B8" s="12" t="s">
        <v>17</v>
      </c>
      <c r="C8" s="13">
        <v>10000</v>
      </c>
      <c r="D8" s="12">
        <v>2440</v>
      </c>
      <c r="E8" s="13">
        <v>2857.1428571428573</v>
      </c>
      <c r="F8" s="12">
        <v>20</v>
      </c>
      <c r="G8" s="13" t="s">
        <v>11</v>
      </c>
      <c r="H8" s="14">
        <v>0.75</v>
      </c>
      <c r="I8" s="14">
        <v>0.72</v>
      </c>
      <c r="J8" s="14">
        <v>0.93</v>
      </c>
    </row>
    <row r="9" spans="1:10" ht="15" customHeight="1" x14ac:dyDescent="0.3">
      <c r="A9" s="15">
        <v>44958</v>
      </c>
      <c r="B9" s="16" t="s">
        <v>10</v>
      </c>
      <c r="C9" s="17">
        <v>5000</v>
      </c>
      <c r="D9" s="17">
        <v>2000</v>
      </c>
      <c r="E9" s="17">
        <v>1428.5714285714287</v>
      </c>
      <c r="F9" s="16">
        <v>90</v>
      </c>
      <c r="G9" s="17" t="s">
        <v>11</v>
      </c>
      <c r="H9" s="18">
        <v>0.92</v>
      </c>
      <c r="I9" s="18">
        <v>0.99</v>
      </c>
      <c r="J9" s="18">
        <v>0.74</v>
      </c>
    </row>
    <row r="10" spans="1:10" ht="15" customHeight="1" x14ac:dyDescent="0.3">
      <c r="A10" s="11">
        <v>44958</v>
      </c>
      <c r="B10" s="12" t="s">
        <v>12</v>
      </c>
      <c r="C10" s="13">
        <v>15000</v>
      </c>
      <c r="D10" s="13">
        <v>14431</v>
      </c>
      <c r="E10" s="13">
        <v>1428.5714285714287</v>
      </c>
      <c r="F10" s="12">
        <v>30</v>
      </c>
      <c r="G10" s="13" t="s">
        <v>11</v>
      </c>
      <c r="H10" s="14">
        <v>0.7</v>
      </c>
      <c r="I10" s="14">
        <v>0.99</v>
      </c>
      <c r="J10" s="14">
        <v>0.95</v>
      </c>
    </row>
    <row r="11" spans="1:10" ht="15" customHeight="1" x14ac:dyDescent="0.3">
      <c r="A11" s="15">
        <v>44958</v>
      </c>
      <c r="B11" s="16" t="s">
        <v>13</v>
      </c>
      <c r="C11" s="17">
        <v>1500</v>
      </c>
      <c r="D11" s="16">
        <v>3000</v>
      </c>
      <c r="E11" s="17">
        <v>1428.5714285714287</v>
      </c>
      <c r="F11" s="16">
        <v>15</v>
      </c>
      <c r="G11" s="17" t="s">
        <v>11</v>
      </c>
      <c r="H11" s="18">
        <v>0.91</v>
      </c>
      <c r="I11" s="18">
        <v>0.98</v>
      </c>
      <c r="J11" s="18">
        <v>0.89</v>
      </c>
    </row>
    <row r="12" spans="1:10" ht="15" customHeight="1" x14ac:dyDescent="0.3">
      <c r="A12" s="11">
        <v>44958</v>
      </c>
      <c r="B12" s="12" t="s">
        <v>14</v>
      </c>
      <c r="C12" s="13">
        <v>3500</v>
      </c>
      <c r="D12" s="12">
        <v>4000</v>
      </c>
      <c r="E12" s="13">
        <v>1428.5714285714287</v>
      </c>
      <c r="F12" s="12">
        <v>40</v>
      </c>
      <c r="G12" s="13" t="s">
        <v>11</v>
      </c>
      <c r="H12" s="14">
        <v>0.74</v>
      </c>
      <c r="I12" s="14">
        <v>0.85</v>
      </c>
      <c r="J12" s="14">
        <v>0.7</v>
      </c>
    </row>
    <row r="13" spans="1:10" ht="15" customHeight="1" x14ac:dyDescent="0.3">
      <c r="A13" s="15">
        <v>44958</v>
      </c>
      <c r="B13" s="16" t="s">
        <v>15</v>
      </c>
      <c r="C13" s="17">
        <v>6000</v>
      </c>
      <c r="D13" s="16">
        <v>2000</v>
      </c>
      <c r="E13" s="17">
        <v>1428.5714285714287</v>
      </c>
      <c r="F13" s="16">
        <v>100</v>
      </c>
      <c r="G13" s="17" t="s">
        <v>11</v>
      </c>
      <c r="H13" s="18">
        <v>0.9</v>
      </c>
      <c r="I13" s="18">
        <v>0.9</v>
      </c>
      <c r="J13" s="18">
        <v>0.72</v>
      </c>
    </row>
    <row r="14" spans="1:10" ht="15" customHeight="1" x14ac:dyDescent="0.3">
      <c r="A14" s="11">
        <v>44958</v>
      </c>
      <c r="B14" s="12" t="s">
        <v>16</v>
      </c>
      <c r="C14" s="13">
        <v>4000</v>
      </c>
      <c r="D14" s="12">
        <v>2000</v>
      </c>
      <c r="E14" s="13">
        <v>1428.5714285714287</v>
      </c>
      <c r="F14" s="12">
        <v>15</v>
      </c>
      <c r="G14" s="13" t="s">
        <v>11</v>
      </c>
      <c r="H14" s="14">
        <v>0.95</v>
      </c>
      <c r="I14" s="14">
        <v>0.97</v>
      </c>
      <c r="J14" s="14">
        <v>0.81</v>
      </c>
    </row>
    <row r="15" spans="1:10" ht="15" customHeight="1" x14ac:dyDescent="0.3">
      <c r="A15" s="15">
        <v>44958</v>
      </c>
      <c r="B15" s="16" t="s">
        <v>17</v>
      </c>
      <c r="C15" s="17">
        <v>10000</v>
      </c>
      <c r="D15" s="16">
        <v>2000</v>
      </c>
      <c r="E15" s="17">
        <v>1428.5714285714287</v>
      </c>
      <c r="F15" s="16">
        <v>20</v>
      </c>
      <c r="G15" s="17" t="s">
        <v>11</v>
      </c>
      <c r="H15" s="18">
        <v>0.99</v>
      </c>
      <c r="I15" s="18">
        <v>0.79</v>
      </c>
      <c r="J15" s="18">
        <v>0.75</v>
      </c>
    </row>
    <row r="16" spans="1:10" ht="15" customHeight="1" x14ac:dyDescent="0.3">
      <c r="A16" s="11">
        <v>44986</v>
      </c>
      <c r="B16" s="12" t="s">
        <v>10</v>
      </c>
      <c r="C16" s="13">
        <v>8571.4285714285706</v>
      </c>
      <c r="D16" s="13">
        <v>4000</v>
      </c>
      <c r="E16" s="13">
        <v>1428.5714285714287</v>
      </c>
      <c r="F16" s="12">
        <v>45</v>
      </c>
      <c r="G16" s="13" t="s">
        <v>11</v>
      </c>
      <c r="H16" s="14">
        <v>0.86</v>
      </c>
      <c r="I16" s="14">
        <v>0.97</v>
      </c>
      <c r="J16" s="14">
        <v>0.89</v>
      </c>
    </row>
    <row r="17" spans="1:10" ht="15" customHeight="1" x14ac:dyDescent="0.3">
      <c r="A17" s="15">
        <v>44986</v>
      </c>
      <c r="B17" s="16" t="s">
        <v>12</v>
      </c>
      <c r="C17" s="17">
        <v>8571.4285714285706</v>
      </c>
      <c r="D17" s="17">
        <v>6000</v>
      </c>
      <c r="E17" s="17">
        <v>1428.5714285714287</v>
      </c>
      <c r="F17" s="16">
        <v>43</v>
      </c>
      <c r="G17" s="17" t="s">
        <v>11</v>
      </c>
      <c r="H17" s="18">
        <v>0.83</v>
      </c>
      <c r="I17" s="18">
        <v>0.72</v>
      </c>
      <c r="J17" s="18">
        <v>0.74</v>
      </c>
    </row>
    <row r="18" spans="1:10" ht="15" customHeight="1" x14ac:dyDescent="0.3">
      <c r="A18" s="11">
        <v>44986</v>
      </c>
      <c r="B18" s="12" t="s">
        <v>13</v>
      </c>
      <c r="C18" s="13">
        <v>8571.4285714285706</v>
      </c>
      <c r="D18" s="12">
        <v>6500</v>
      </c>
      <c r="E18" s="13">
        <v>1428.5714285714287</v>
      </c>
      <c r="F18" s="12">
        <v>43</v>
      </c>
      <c r="G18" s="13" t="s">
        <v>11</v>
      </c>
      <c r="H18" s="14">
        <v>0.74</v>
      </c>
      <c r="I18" s="14">
        <v>0.78</v>
      </c>
      <c r="J18" s="14">
        <v>0.94</v>
      </c>
    </row>
    <row r="19" spans="1:10" ht="15" customHeight="1" x14ac:dyDescent="0.3">
      <c r="A19" s="15">
        <v>44986</v>
      </c>
      <c r="B19" s="16" t="s">
        <v>14</v>
      </c>
      <c r="C19" s="17">
        <v>8571.4285714285706</v>
      </c>
      <c r="D19" s="16">
        <v>12000</v>
      </c>
      <c r="E19" s="17">
        <v>1428.5714285714287</v>
      </c>
      <c r="F19" s="16">
        <v>43</v>
      </c>
      <c r="G19" s="17" t="s">
        <v>11</v>
      </c>
      <c r="H19" s="18">
        <v>0.8</v>
      </c>
      <c r="I19" s="18">
        <v>0.84</v>
      </c>
      <c r="J19" s="18">
        <v>0.81</v>
      </c>
    </row>
    <row r="20" spans="1:10" ht="15" customHeight="1" x14ac:dyDescent="0.3">
      <c r="A20" s="11">
        <v>44986</v>
      </c>
      <c r="B20" s="12" t="s">
        <v>15</v>
      </c>
      <c r="C20" s="13">
        <v>8571.4285714285706</v>
      </c>
      <c r="D20" s="12">
        <v>3000</v>
      </c>
      <c r="E20" s="13">
        <v>1428.5714285714287</v>
      </c>
      <c r="F20" s="12">
        <v>43</v>
      </c>
      <c r="G20" s="13" t="s">
        <v>11</v>
      </c>
      <c r="H20" s="14">
        <v>0.89</v>
      </c>
      <c r="I20" s="14">
        <v>0.99</v>
      </c>
      <c r="J20" s="14">
        <v>0.97</v>
      </c>
    </row>
    <row r="21" spans="1:10" ht="15" customHeight="1" x14ac:dyDescent="0.3">
      <c r="A21" s="15">
        <v>44986</v>
      </c>
      <c r="B21" s="16" t="s">
        <v>16</v>
      </c>
      <c r="C21" s="17">
        <v>8571.4285714285706</v>
      </c>
      <c r="D21" s="16">
        <v>2000</v>
      </c>
      <c r="E21" s="17">
        <v>1428.5714285714287</v>
      </c>
      <c r="F21" s="16">
        <v>40</v>
      </c>
      <c r="G21" s="17" t="s">
        <v>11</v>
      </c>
      <c r="H21" s="18">
        <v>0.71</v>
      </c>
      <c r="I21" s="18">
        <v>0.87</v>
      </c>
      <c r="J21" s="18">
        <v>0.94</v>
      </c>
    </row>
    <row r="22" spans="1:10" ht="15" customHeight="1" x14ac:dyDescent="0.3">
      <c r="A22" s="11">
        <v>44986</v>
      </c>
      <c r="B22" s="12" t="s">
        <v>17</v>
      </c>
      <c r="C22" s="13">
        <v>8571.4285714285706</v>
      </c>
      <c r="D22" s="12">
        <v>2000</v>
      </c>
      <c r="E22" s="13">
        <v>1428.5714285714287</v>
      </c>
      <c r="F22" s="12">
        <v>43</v>
      </c>
      <c r="G22" s="13" t="s">
        <v>11</v>
      </c>
      <c r="H22" s="14">
        <v>0.9</v>
      </c>
      <c r="I22" s="14">
        <v>0.72</v>
      </c>
      <c r="J22" s="14">
        <v>0.94</v>
      </c>
    </row>
    <row r="23" spans="1:10" ht="15" customHeight="1" x14ac:dyDescent="0.3">
      <c r="A23" s="15">
        <v>45017</v>
      </c>
      <c r="B23" s="16" t="s">
        <v>10</v>
      </c>
      <c r="C23" s="17">
        <v>7857.1428571428569</v>
      </c>
      <c r="D23" s="17">
        <v>3000</v>
      </c>
      <c r="E23" s="17">
        <v>5714.2857142857147</v>
      </c>
      <c r="F23" s="16">
        <v>100</v>
      </c>
      <c r="G23" s="16" t="s">
        <v>18</v>
      </c>
      <c r="H23" s="18">
        <v>0.89</v>
      </c>
      <c r="I23" s="18">
        <v>0.85</v>
      </c>
      <c r="J23" s="18">
        <v>0.87</v>
      </c>
    </row>
    <row r="24" spans="1:10" ht="15" customHeight="1" x14ac:dyDescent="0.3">
      <c r="A24" s="11">
        <v>45017</v>
      </c>
      <c r="B24" s="12" t="s">
        <v>12</v>
      </c>
      <c r="C24" s="13">
        <v>7857.1428571428569</v>
      </c>
      <c r="D24" s="13">
        <v>4500</v>
      </c>
      <c r="E24" s="13">
        <v>5714.2857142857147</v>
      </c>
      <c r="F24" s="12">
        <v>100</v>
      </c>
      <c r="G24" s="12" t="s">
        <v>18</v>
      </c>
      <c r="H24" s="14">
        <v>0.89</v>
      </c>
      <c r="I24" s="14">
        <v>0.8</v>
      </c>
      <c r="J24" s="14">
        <v>0.88</v>
      </c>
    </row>
    <row r="25" spans="1:10" ht="15" customHeight="1" x14ac:dyDescent="0.3">
      <c r="A25" s="15">
        <v>45017</v>
      </c>
      <c r="B25" s="16" t="s">
        <v>13</v>
      </c>
      <c r="C25" s="17">
        <v>7857.1428571428569</v>
      </c>
      <c r="D25" s="16">
        <v>5500</v>
      </c>
      <c r="E25" s="17">
        <v>5714.2857142857147</v>
      </c>
      <c r="F25" s="16">
        <v>100</v>
      </c>
      <c r="G25" s="16" t="s">
        <v>18</v>
      </c>
      <c r="H25" s="18">
        <v>0.98</v>
      </c>
      <c r="I25" s="18">
        <v>0.99</v>
      </c>
      <c r="J25" s="18">
        <v>0.81</v>
      </c>
    </row>
    <row r="26" spans="1:10" ht="15" customHeight="1" x14ac:dyDescent="0.3">
      <c r="A26" s="11">
        <v>45017</v>
      </c>
      <c r="B26" s="12" t="s">
        <v>14</v>
      </c>
      <c r="C26" s="13">
        <v>7857.1428571428569</v>
      </c>
      <c r="D26" s="12">
        <v>10000</v>
      </c>
      <c r="E26" s="13">
        <v>5714.2857142857147</v>
      </c>
      <c r="F26" s="12">
        <v>100</v>
      </c>
      <c r="G26" s="12" t="s">
        <v>18</v>
      </c>
      <c r="H26" s="14">
        <v>0.81</v>
      </c>
      <c r="I26" s="14">
        <v>0.91</v>
      </c>
      <c r="J26" s="14">
        <v>0.95</v>
      </c>
    </row>
    <row r="27" spans="1:10" ht="15" customHeight="1" x14ac:dyDescent="0.3">
      <c r="A27" s="15">
        <v>45017</v>
      </c>
      <c r="B27" s="16" t="s">
        <v>15</v>
      </c>
      <c r="C27" s="17">
        <v>7857.1428571428569</v>
      </c>
      <c r="D27" s="16">
        <v>2000</v>
      </c>
      <c r="E27" s="17">
        <v>5714.2857142857147</v>
      </c>
      <c r="F27" s="16">
        <v>100</v>
      </c>
      <c r="G27" s="16" t="s">
        <v>18</v>
      </c>
      <c r="H27" s="18">
        <v>0.97</v>
      </c>
      <c r="I27" s="18">
        <v>0.85</v>
      </c>
      <c r="J27" s="18">
        <v>0.85</v>
      </c>
    </row>
    <row r="28" spans="1:10" ht="15" customHeight="1" x14ac:dyDescent="0.3">
      <c r="A28" s="11">
        <v>45017</v>
      </c>
      <c r="B28" s="12" t="s">
        <v>16</v>
      </c>
      <c r="C28" s="13">
        <v>7857.1428571428569</v>
      </c>
      <c r="D28" s="12">
        <v>2000</v>
      </c>
      <c r="E28" s="13">
        <v>5714.2857142857147</v>
      </c>
      <c r="F28" s="12">
        <v>100</v>
      </c>
      <c r="G28" s="12" t="s">
        <v>18</v>
      </c>
      <c r="H28" s="14">
        <v>0.89</v>
      </c>
      <c r="I28" s="14">
        <v>0.94</v>
      </c>
      <c r="J28" s="14">
        <v>0.8</v>
      </c>
    </row>
    <row r="29" spans="1:10" ht="15.6" x14ac:dyDescent="0.3">
      <c r="A29" s="15">
        <v>45017</v>
      </c>
      <c r="B29" s="16" t="s">
        <v>17</v>
      </c>
      <c r="C29" s="17">
        <v>7857.1428571428569</v>
      </c>
      <c r="D29" s="16">
        <v>2000</v>
      </c>
      <c r="E29" s="17">
        <v>5714.2857142857147</v>
      </c>
      <c r="F29" s="16">
        <v>100</v>
      </c>
      <c r="G29" s="16" t="s">
        <v>18</v>
      </c>
      <c r="H29" s="18">
        <v>0.88</v>
      </c>
      <c r="I29" s="18">
        <v>0.94</v>
      </c>
      <c r="J29" s="18">
        <v>0.7</v>
      </c>
    </row>
    <row r="30" spans="1:10" ht="15.6" x14ac:dyDescent="0.3">
      <c r="A30" s="11">
        <v>45047</v>
      </c>
      <c r="B30" s="12" t="s">
        <v>10</v>
      </c>
      <c r="C30" s="13">
        <v>11428.571428571429</v>
      </c>
      <c r="D30" s="13">
        <v>20000</v>
      </c>
      <c r="E30" s="13">
        <v>2857.1428571428573</v>
      </c>
      <c r="F30" s="12">
        <v>90</v>
      </c>
      <c r="G30" s="12" t="s">
        <v>18</v>
      </c>
      <c r="H30" s="14">
        <v>0.75</v>
      </c>
      <c r="I30" s="14">
        <v>0.77</v>
      </c>
      <c r="J30" s="14">
        <v>0.84</v>
      </c>
    </row>
    <row r="31" spans="1:10" ht="15.6" x14ac:dyDescent="0.3">
      <c r="A31" s="15">
        <v>45047</v>
      </c>
      <c r="B31" s="16" t="s">
        <v>12</v>
      </c>
      <c r="C31" s="17">
        <v>11428.571428571429</v>
      </c>
      <c r="D31" s="17">
        <v>17000</v>
      </c>
      <c r="E31" s="17">
        <v>2857.1428571428573</v>
      </c>
      <c r="F31" s="16">
        <v>80</v>
      </c>
      <c r="G31" s="16" t="s">
        <v>18</v>
      </c>
      <c r="H31" s="18">
        <v>0.73</v>
      </c>
      <c r="I31" s="18">
        <v>0.96</v>
      </c>
      <c r="J31" s="18">
        <v>0.93</v>
      </c>
    </row>
    <row r="32" spans="1:10" ht="15.6" x14ac:dyDescent="0.3">
      <c r="A32" s="11">
        <v>45047</v>
      </c>
      <c r="B32" s="12" t="s">
        <v>13</v>
      </c>
      <c r="C32" s="13">
        <v>11428.571428571429</v>
      </c>
      <c r="D32" s="12">
        <v>16000</v>
      </c>
      <c r="E32" s="13">
        <v>2857.1428571428573</v>
      </c>
      <c r="F32" s="12">
        <v>90</v>
      </c>
      <c r="G32" s="12" t="s">
        <v>18</v>
      </c>
      <c r="H32" s="14">
        <v>0.93</v>
      </c>
      <c r="I32" s="14">
        <v>0.74</v>
      </c>
      <c r="J32" s="14">
        <v>0.93</v>
      </c>
    </row>
    <row r="33" spans="1:12" ht="15.6" x14ac:dyDescent="0.3">
      <c r="A33" s="15">
        <v>45047</v>
      </c>
      <c r="B33" s="16" t="s">
        <v>14</v>
      </c>
      <c r="C33" s="17">
        <v>11428.571428571429</v>
      </c>
      <c r="D33" s="16">
        <v>12000</v>
      </c>
      <c r="E33" s="17">
        <v>2857.1428571428573</v>
      </c>
      <c r="F33" s="16">
        <v>110</v>
      </c>
      <c r="G33" s="16" t="s">
        <v>18</v>
      </c>
      <c r="H33" s="18">
        <v>0.85</v>
      </c>
      <c r="I33" s="18">
        <v>0.7</v>
      </c>
      <c r="J33" s="18">
        <v>0.99</v>
      </c>
    </row>
    <row r="34" spans="1:12" ht="15.6" x14ac:dyDescent="0.3">
      <c r="A34" s="11">
        <v>45047</v>
      </c>
      <c r="B34" s="12" t="s">
        <v>15</v>
      </c>
      <c r="C34" s="13">
        <v>11428.571428571429</v>
      </c>
      <c r="D34" s="12">
        <v>20500</v>
      </c>
      <c r="E34" s="13">
        <v>2857.1428571428573</v>
      </c>
      <c r="F34" s="12">
        <v>90</v>
      </c>
      <c r="G34" s="12" t="s">
        <v>18</v>
      </c>
      <c r="H34" s="14">
        <v>0.92</v>
      </c>
      <c r="I34" s="14">
        <v>0.99</v>
      </c>
      <c r="J34" s="14">
        <v>0.88</v>
      </c>
    </row>
    <row r="35" spans="1:12" ht="15.6" x14ac:dyDescent="0.3">
      <c r="A35" s="15">
        <v>45047</v>
      </c>
      <c r="B35" s="16" t="s">
        <v>16</v>
      </c>
      <c r="C35" s="17">
        <v>11428.571428571429</v>
      </c>
      <c r="D35" s="16">
        <v>21000</v>
      </c>
      <c r="E35" s="17">
        <v>2857.1428571428573</v>
      </c>
      <c r="F35" s="16">
        <v>100</v>
      </c>
      <c r="G35" s="16" t="s">
        <v>18</v>
      </c>
      <c r="H35" s="18">
        <v>0.75</v>
      </c>
      <c r="I35" s="18">
        <v>0.97</v>
      </c>
      <c r="J35" s="18">
        <v>0.83</v>
      </c>
    </row>
    <row r="36" spans="1:12" ht="15.6" x14ac:dyDescent="0.3">
      <c r="A36" s="11">
        <v>45047</v>
      </c>
      <c r="B36" s="12" t="s">
        <v>17</v>
      </c>
      <c r="C36" s="13">
        <v>11428.571428571429</v>
      </c>
      <c r="D36" s="12">
        <v>21500</v>
      </c>
      <c r="E36" s="13">
        <v>2857.1428571428573</v>
      </c>
      <c r="F36" s="12">
        <v>90</v>
      </c>
      <c r="G36" s="12" t="s">
        <v>18</v>
      </c>
      <c r="H36" s="14">
        <v>0.77</v>
      </c>
      <c r="I36" s="14">
        <v>0.97</v>
      </c>
      <c r="J36" s="14">
        <v>0.78</v>
      </c>
    </row>
    <row r="37" spans="1:12" ht="15.6" x14ac:dyDescent="0.3">
      <c r="A37" s="15">
        <v>45078</v>
      </c>
      <c r="B37" s="16" t="s">
        <v>10</v>
      </c>
      <c r="C37" s="17">
        <v>14285.714285714286</v>
      </c>
      <c r="D37" s="17">
        <v>22000</v>
      </c>
      <c r="E37" s="17">
        <v>857.14285714285711</v>
      </c>
      <c r="F37" s="16">
        <v>228</v>
      </c>
      <c r="G37" s="16" t="s">
        <v>18</v>
      </c>
      <c r="H37" s="18">
        <v>0.79</v>
      </c>
      <c r="I37" s="18">
        <v>0.75</v>
      </c>
      <c r="J37" s="18">
        <v>0.93</v>
      </c>
    </row>
    <row r="38" spans="1:12" ht="15.6" x14ac:dyDescent="0.3">
      <c r="A38" s="11">
        <v>45078</v>
      </c>
      <c r="B38" s="12" t="s">
        <v>12</v>
      </c>
      <c r="C38" s="13">
        <v>14285.714285714286</v>
      </c>
      <c r="D38" s="13">
        <v>18000</v>
      </c>
      <c r="E38" s="13">
        <v>857.14285714285711</v>
      </c>
      <c r="F38" s="12">
        <v>220</v>
      </c>
      <c r="G38" s="12" t="s">
        <v>18</v>
      </c>
      <c r="H38" s="14">
        <v>0.81</v>
      </c>
      <c r="I38" s="14">
        <v>0.98</v>
      </c>
      <c r="J38" s="14">
        <v>0.86</v>
      </c>
    </row>
    <row r="39" spans="1:12" ht="15.6" x14ac:dyDescent="0.3">
      <c r="A39" s="15">
        <v>45078</v>
      </c>
      <c r="B39" s="16" t="s">
        <v>13</v>
      </c>
      <c r="C39" s="17">
        <v>14285.714285714286</v>
      </c>
      <c r="D39" s="16">
        <v>18500</v>
      </c>
      <c r="E39" s="17">
        <v>857.14285714285711</v>
      </c>
      <c r="F39" s="16">
        <v>228</v>
      </c>
      <c r="G39" s="16" t="s">
        <v>18</v>
      </c>
      <c r="H39" s="18">
        <v>0.86</v>
      </c>
      <c r="I39" s="18">
        <v>0.82</v>
      </c>
      <c r="J39" s="18">
        <v>0.86</v>
      </c>
    </row>
    <row r="40" spans="1:12" ht="15.6" x14ac:dyDescent="0.3">
      <c r="A40" s="11">
        <v>45078</v>
      </c>
      <c r="B40" s="12" t="s">
        <v>14</v>
      </c>
      <c r="C40" s="13">
        <v>14285.714285714286</v>
      </c>
      <c r="D40" s="12">
        <v>14314</v>
      </c>
      <c r="E40" s="13">
        <v>857.14285714285711</v>
      </c>
      <c r="F40" s="12">
        <v>238</v>
      </c>
      <c r="G40" s="12" t="s">
        <v>18</v>
      </c>
      <c r="H40" s="14">
        <v>0.72</v>
      </c>
      <c r="I40" s="14">
        <v>0.95</v>
      </c>
      <c r="J40" s="14">
        <v>0.9</v>
      </c>
    </row>
    <row r="41" spans="1:12" ht="15.6" x14ac:dyDescent="0.3">
      <c r="A41" s="15">
        <v>45078</v>
      </c>
      <c r="B41" s="16" t="s">
        <v>15</v>
      </c>
      <c r="C41" s="17">
        <v>14285.714285714286</v>
      </c>
      <c r="D41" s="16">
        <v>21000</v>
      </c>
      <c r="E41" s="17">
        <v>857.14285714285711</v>
      </c>
      <c r="F41" s="16">
        <v>228</v>
      </c>
      <c r="G41" s="16" t="s">
        <v>18</v>
      </c>
      <c r="H41" s="18">
        <v>0.71</v>
      </c>
      <c r="I41" s="18">
        <v>0.8</v>
      </c>
      <c r="J41" s="18">
        <v>0.76</v>
      </c>
    </row>
    <row r="42" spans="1:12" ht="15.6" x14ac:dyDescent="0.3">
      <c r="A42" s="11">
        <v>45078</v>
      </c>
      <c r="B42" s="12" t="s">
        <v>16</v>
      </c>
      <c r="C42" s="13">
        <v>14285.714285714286</v>
      </c>
      <c r="D42" s="12">
        <v>22500</v>
      </c>
      <c r="E42" s="13">
        <v>857.14285714285711</v>
      </c>
      <c r="F42" s="12">
        <v>230</v>
      </c>
      <c r="G42" s="12" t="s">
        <v>18</v>
      </c>
      <c r="H42" s="14">
        <v>0.97</v>
      </c>
      <c r="I42" s="14">
        <v>0.95</v>
      </c>
      <c r="J42" s="14">
        <v>0.85</v>
      </c>
    </row>
    <row r="43" spans="1:12" ht="15.6" x14ac:dyDescent="0.3">
      <c r="A43" s="15">
        <v>45078</v>
      </c>
      <c r="B43" s="16" t="s">
        <v>17</v>
      </c>
      <c r="C43" s="17">
        <v>14285.714285714286</v>
      </c>
      <c r="D43" s="16">
        <v>22900</v>
      </c>
      <c r="E43" s="17">
        <v>857.14285714285711</v>
      </c>
      <c r="F43" s="16">
        <v>228</v>
      </c>
      <c r="G43" s="16" t="s">
        <v>18</v>
      </c>
      <c r="H43" s="18">
        <v>0.95</v>
      </c>
      <c r="I43" s="18">
        <v>0.85</v>
      </c>
      <c r="J43" s="18">
        <v>0.91</v>
      </c>
    </row>
    <row r="44" spans="1:12" ht="15.6" x14ac:dyDescent="0.3">
      <c r="A44" s="11">
        <v>45108</v>
      </c>
      <c r="B44" s="12" t="s">
        <v>10</v>
      </c>
      <c r="C44" s="13">
        <v>18562.957142857143</v>
      </c>
      <c r="D44" s="13">
        <v>25000</v>
      </c>
      <c r="E44" s="13">
        <v>714.28571428571433</v>
      </c>
      <c r="F44" s="12">
        <v>250</v>
      </c>
      <c r="G44" s="12" t="s">
        <v>19</v>
      </c>
      <c r="H44" s="14">
        <v>0.97</v>
      </c>
      <c r="I44" s="14">
        <v>0.7</v>
      </c>
      <c r="J44" s="14">
        <v>0.93</v>
      </c>
      <c r="K44" s="1"/>
      <c r="L44" s="1"/>
    </row>
    <row r="45" spans="1:12" ht="15.6" x14ac:dyDescent="0.3">
      <c r="A45" s="15">
        <v>45108</v>
      </c>
      <c r="B45" s="16" t="s">
        <v>12</v>
      </c>
      <c r="C45" s="17">
        <v>18562.957142857143</v>
      </c>
      <c r="D45" s="17">
        <v>22000</v>
      </c>
      <c r="E45" s="17">
        <v>714.28571428571433</v>
      </c>
      <c r="F45" s="16">
        <v>240</v>
      </c>
      <c r="G45" s="16" t="s">
        <v>19</v>
      </c>
      <c r="H45" s="18">
        <v>0.9</v>
      </c>
      <c r="I45" s="18">
        <v>0.98</v>
      </c>
      <c r="J45" s="18">
        <v>0.96</v>
      </c>
    </row>
    <row r="46" spans="1:12" ht="15.6" x14ac:dyDescent="0.3">
      <c r="A46" s="11">
        <v>45108</v>
      </c>
      <c r="B46" s="12" t="s">
        <v>13</v>
      </c>
      <c r="C46" s="13">
        <v>18562.957142857143</v>
      </c>
      <c r="D46" s="12">
        <v>25000</v>
      </c>
      <c r="E46" s="13">
        <v>714.28571428571433</v>
      </c>
      <c r="F46" s="12">
        <v>270</v>
      </c>
      <c r="G46" s="12" t="s">
        <v>19</v>
      </c>
      <c r="H46" s="14">
        <v>0.9</v>
      </c>
      <c r="I46" s="14">
        <v>0.95</v>
      </c>
      <c r="J46" s="14">
        <v>0.98</v>
      </c>
    </row>
    <row r="47" spans="1:12" ht="15.6" x14ac:dyDescent="0.3">
      <c r="A47" s="15">
        <v>45108</v>
      </c>
      <c r="B47" s="16" t="s">
        <v>14</v>
      </c>
      <c r="C47" s="17">
        <v>18562.957142857143</v>
      </c>
      <c r="D47" s="16">
        <v>25000</v>
      </c>
      <c r="E47" s="17">
        <v>714.28571428571433</v>
      </c>
      <c r="F47" s="16">
        <v>259</v>
      </c>
      <c r="G47" s="16" t="s">
        <v>19</v>
      </c>
      <c r="H47" s="18">
        <v>0.96</v>
      </c>
      <c r="I47" s="18">
        <v>0.81</v>
      </c>
      <c r="J47" s="18">
        <v>0.85</v>
      </c>
    </row>
    <row r="48" spans="1:12" ht="15.6" x14ac:dyDescent="0.3">
      <c r="A48" s="11">
        <v>45108</v>
      </c>
      <c r="B48" s="12" t="s">
        <v>15</v>
      </c>
      <c r="C48" s="13">
        <v>18562.957142857143</v>
      </c>
      <c r="D48" s="12">
        <v>25000</v>
      </c>
      <c r="E48" s="13">
        <v>714.28571428571433</v>
      </c>
      <c r="F48" s="12">
        <v>260</v>
      </c>
      <c r="G48" s="12" t="s">
        <v>19</v>
      </c>
      <c r="H48" s="14">
        <v>0.98</v>
      </c>
      <c r="I48" s="14">
        <v>0.84</v>
      </c>
      <c r="J48" s="14">
        <v>0.89</v>
      </c>
    </row>
    <row r="49" spans="1:10" ht="15.6" x14ac:dyDescent="0.3">
      <c r="A49" s="15">
        <v>45108</v>
      </c>
      <c r="B49" s="16" t="s">
        <v>16</v>
      </c>
      <c r="C49" s="17">
        <v>18562.957142857143</v>
      </c>
      <c r="D49" s="16">
        <v>25000</v>
      </c>
      <c r="E49" s="17">
        <v>714.28571428571433</v>
      </c>
      <c r="F49" s="16">
        <v>260</v>
      </c>
      <c r="G49" s="16" t="s">
        <v>19</v>
      </c>
      <c r="H49" s="18">
        <v>0.76</v>
      </c>
      <c r="I49" s="18">
        <v>0.7</v>
      </c>
      <c r="J49" s="18">
        <v>0.86</v>
      </c>
    </row>
    <row r="50" spans="1:10" ht="15.6" x14ac:dyDescent="0.3">
      <c r="A50" s="11">
        <v>45108</v>
      </c>
      <c r="B50" s="12" t="s">
        <v>17</v>
      </c>
      <c r="C50" s="13">
        <v>18562.957142857143</v>
      </c>
      <c r="D50" s="12">
        <v>25000</v>
      </c>
      <c r="E50" s="13">
        <v>714.28571428571433</v>
      </c>
      <c r="F50" s="12">
        <v>261</v>
      </c>
      <c r="G50" s="12" t="s">
        <v>19</v>
      </c>
      <c r="H50" s="14">
        <v>0.91</v>
      </c>
      <c r="I50" s="14">
        <v>0.77</v>
      </c>
      <c r="J50" s="14">
        <v>0.75</v>
      </c>
    </row>
    <row r="51" spans="1:10" ht="15.6" x14ac:dyDescent="0.3">
      <c r="A51" s="15">
        <v>45139</v>
      </c>
      <c r="B51" s="16" t="s">
        <v>10</v>
      </c>
      <c r="C51" s="17">
        <v>18571.428571428572</v>
      </c>
      <c r="D51" s="17">
        <v>25000</v>
      </c>
      <c r="E51" s="17">
        <v>714.28571428571433</v>
      </c>
      <c r="F51" s="16">
        <v>242</v>
      </c>
      <c r="G51" s="16" t="s">
        <v>19</v>
      </c>
      <c r="H51" s="18">
        <v>0.79</v>
      </c>
      <c r="I51" s="18">
        <v>0.81</v>
      </c>
      <c r="J51" s="18">
        <v>0.74</v>
      </c>
    </row>
    <row r="52" spans="1:10" ht="15.6" x14ac:dyDescent="0.3">
      <c r="A52" s="11">
        <v>45139</v>
      </c>
      <c r="B52" s="12" t="s">
        <v>12</v>
      </c>
      <c r="C52" s="13">
        <v>18571.428571428572</v>
      </c>
      <c r="D52" s="13">
        <v>22500</v>
      </c>
      <c r="E52" s="13">
        <v>714.28571428571433</v>
      </c>
      <c r="F52" s="12">
        <v>250</v>
      </c>
      <c r="G52" s="12" t="s">
        <v>19</v>
      </c>
      <c r="H52" s="14">
        <v>0.85</v>
      </c>
      <c r="I52" s="14">
        <v>0.82</v>
      </c>
      <c r="J52" s="14">
        <v>0.73</v>
      </c>
    </row>
    <row r="53" spans="1:10" ht="15.6" x14ac:dyDescent="0.3">
      <c r="A53" s="15">
        <v>45139</v>
      </c>
      <c r="B53" s="16" t="s">
        <v>13</v>
      </c>
      <c r="C53" s="17">
        <v>18571.428571428572</v>
      </c>
      <c r="D53" s="16">
        <v>25000</v>
      </c>
      <c r="E53" s="17">
        <v>714.28571428571433</v>
      </c>
      <c r="F53" s="16">
        <v>242</v>
      </c>
      <c r="G53" s="16" t="s">
        <v>19</v>
      </c>
      <c r="H53" s="18">
        <v>0.88</v>
      </c>
      <c r="I53" s="18">
        <v>0.84</v>
      </c>
      <c r="J53" s="18">
        <v>0.75</v>
      </c>
    </row>
    <row r="54" spans="1:10" ht="15.6" x14ac:dyDescent="0.3">
      <c r="A54" s="11">
        <v>45139</v>
      </c>
      <c r="B54" s="12" t="s">
        <v>14</v>
      </c>
      <c r="C54" s="13">
        <v>18571.428571428572</v>
      </c>
      <c r="D54" s="12">
        <v>25000</v>
      </c>
      <c r="E54" s="13">
        <v>714.28571428571433</v>
      </c>
      <c r="F54" s="12">
        <v>242</v>
      </c>
      <c r="G54" s="12" t="s">
        <v>19</v>
      </c>
      <c r="H54" s="14">
        <v>0.81</v>
      </c>
      <c r="I54" s="14">
        <v>0.92</v>
      </c>
      <c r="J54" s="14">
        <v>0.91</v>
      </c>
    </row>
    <row r="55" spans="1:10" ht="15.6" x14ac:dyDescent="0.3">
      <c r="A55" s="15">
        <v>45139</v>
      </c>
      <c r="B55" s="16" t="s">
        <v>15</v>
      </c>
      <c r="C55" s="17">
        <v>18571.428571428572</v>
      </c>
      <c r="D55" s="16">
        <v>25000</v>
      </c>
      <c r="E55" s="17">
        <v>714.28571428571433</v>
      </c>
      <c r="F55" s="16">
        <v>242</v>
      </c>
      <c r="G55" s="16" t="s">
        <v>19</v>
      </c>
      <c r="H55" s="18">
        <v>0.84</v>
      </c>
      <c r="I55" s="18">
        <v>0.73</v>
      </c>
      <c r="J55" s="18">
        <v>0.99</v>
      </c>
    </row>
    <row r="56" spans="1:10" ht="15.6" x14ac:dyDescent="0.3">
      <c r="A56" s="11">
        <v>45139</v>
      </c>
      <c r="B56" s="12" t="s">
        <v>16</v>
      </c>
      <c r="C56" s="13">
        <v>18571.428571428572</v>
      </c>
      <c r="D56" s="12">
        <v>25000</v>
      </c>
      <c r="E56" s="13">
        <v>714.28571428571433</v>
      </c>
      <c r="F56" s="12">
        <v>240</v>
      </c>
      <c r="G56" s="12" t="s">
        <v>19</v>
      </c>
      <c r="H56" s="14">
        <v>0.93</v>
      </c>
      <c r="I56" s="14">
        <v>0.79</v>
      </c>
      <c r="J56" s="14">
        <v>0.72</v>
      </c>
    </row>
    <row r="57" spans="1:10" ht="15.6" x14ac:dyDescent="0.3">
      <c r="A57" s="15">
        <v>45139</v>
      </c>
      <c r="B57" s="16" t="s">
        <v>17</v>
      </c>
      <c r="C57" s="17">
        <v>18571.428571428572</v>
      </c>
      <c r="D57" s="16">
        <v>25000</v>
      </c>
      <c r="E57" s="17">
        <v>714.28571428571433</v>
      </c>
      <c r="F57" s="16">
        <v>242</v>
      </c>
      <c r="G57" s="16" t="s">
        <v>19</v>
      </c>
      <c r="H57" s="18">
        <v>0.84</v>
      </c>
      <c r="I57" s="18">
        <v>0.79</v>
      </c>
      <c r="J57" s="18">
        <v>0.8</v>
      </c>
    </row>
    <row r="58" spans="1:10" ht="15.6" x14ac:dyDescent="0.3">
      <c r="A58" s="11">
        <v>45170</v>
      </c>
      <c r="B58" s="12" t="s">
        <v>10</v>
      </c>
      <c r="C58" s="13">
        <v>17857.142857142859</v>
      </c>
      <c r="D58" s="13">
        <v>22500</v>
      </c>
      <c r="E58" s="13">
        <v>285.71428571428572</v>
      </c>
      <c r="F58" s="12">
        <v>285</v>
      </c>
      <c r="G58" s="12" t="s">
        <v>19</v>
      </c>
      <c r="H58" s="14">
        <v>0.85</v>
      </c>
      <c r="I58" s="14">
        <v>0.91</v>
      </c>
      <c r="J58" s="14">
        <v>0.84</v>
      </c>
    </row>
    <row r="59" spans="1:10" ht="15.6" x14ac:dyDescent="0.3">
      <c r="A59" s="15">
        <v>45170</v>
      </c>
      <c r="B59" s="16" t="s">
        <v>12</v>
      </c>
      <c r="C59" s="17">
        <v>17857.142857142859</v>
      </c>
      <c r="D59" s="17">
        <v>21500</v>
      </c>
      <c r="E59" s="17">
        <v>285.71428571428572</v>
      </c>
      <c r="F59" s="16">
        <v>275</v>
      </c>
      <c r="G59" s="16" t="s">
        <v>19</v>
      </c>
      <c r="H59" s="18">
        <v>0.86</v>
      </c>
      <c r="I59" s="18">
        <v>0.75</v>
      </c>
      <c r="J59" s="18">
        <v>0.96</v>
      </c>
    </row>
    <row r="60" spans="1:10" ht="15.6" x14ac:dyDescent="0.3">
      <c r="A60" s="11">
        <v>45170</v>
      </c>
      <c r="B60" s="12" t="s">
        <v>13</v>
      </c>
      <c r="C60" s="13">
        <v>17857.142857142859</v>
      </c>
      <c r="D60" s="12">
        <v>24000</v>
      </c>
      <c r="E60" s="13">
        <v>285.71428571428572</v>
      </c>
      <c r="F60" s="12">
        <v>285</v>
      </c>
      <c r="G60" s="12" t="s">
        <v>19</v>
      </c>
      <c r="H60" s="14">
        <v>0.96</v>
      </c>
      <c r="I60" s="14">
        <v>0.77</v>
      </c>
      <c r="J60" s="14">
        <v>0.92</v>
      </c>
    </row>
    <row r="61" spans="1:10" ht="15.6" x14ac:dyDescent="0.3">
      <c r="A61" s="15">
        <v>45170</v>
      </c>
      <c r="B61" s="16" t="s">
        <v>14</v>
      </c>
      <c r="C61" s="17">
        <v>17857.142857142859</v>
      </c>
      <c r="D61" s="16">
        <v>24500</v>
      </c>
      <c r="E61" s="17">
        <v>285.71428571428572</v>
      </c>
      <c r="F61" s="16">
        <v>290</v>
      </c>
      <c r="G61" s="16" t="s">
        <v>19</v>
      </c>
      <c r="H61" s="18">
        <v>0.99</v>
      </c>
      <c r="I61" s="18">
        <v>0.97</v>
      </c>
      <c r="J61" s="18">
        <v>0.73</v>
      </c>
    </row>
    <row r="62" spans="1:10" ht="15.6" x14ac:dyDescent="0.3">
      <c r="A62" s="11">
        <v>45170</v>
      </c>
      <c r="B62" s="12" t="s">
        <v>15</v>
      </c>
      <c r="C62" s="13">
        <v>17857.142857142859</v>
      </c>
      <c r="D62" s="12">
        <v>24500</v>
      </c>
      <c r="E62" s="13">
        <v>285.71428571428572</v>
      </c>
      <c r="F62" s="12">
        <v>310</v>
      </c>
      <c r="G62" s="12" t="s">
        <v>19</v>
      </c>
      <c r="H62" s="14">
        <v>0.77</v>
      </c>
      <c r="I62" s="14">
        <v>0.72</v>
      </c>
      <c r="J62" s="14">
        <v>0.85</v>
      </c>
    </row>
    <row r="63" spans="1:10" ht="15.6" x14ac:dyDescent="0.3">
      <c r="A63" s="15">
        <v>45170</v>
      </c>
      <c r="B63" s="16" t="s">
        <v>16</v>
      </c>
      <c r="C63" s="17">
        <v>17857.142857142859</v>
      </c>
      <c r="D63" s="16">
        <v>24500</v>
      </c>
      <c r="E63" s="17">
        <v>285.71428571428572</v>
      </c>
      <c r="F63" s="16">
        <v>270</v>
      </c>
      <c r="G63" s="16" t="s">
        <v>19</v>
      </c>
      <c r="H63" s="18">
        <v>0.77</v>
      </c>
      <c r="I63" s="18">
        <v>0.96</v>
      </c>
      <c r="J63" s="18">
        <v>0.78</v>
      </c>
    </row>
    <row r="64" spans="1:10" ht="15.6" x14ac:dyDescent="0.3">
      <c r="A64" s="11">
        <v>45170</v>
      </c>
      <c r="B64" s="12" t="s">
        <v>17</v>
      </c>
      <c r="C64" s="13">
        <v>17857.142857142859</v>
      </c>
      <c r="D64" s="12">
        <v>24500</v>
      </c>
      <c r="E64" s="13">
        <v>285.71428571428572</v>
      </c>
      <c r="F64" s="12">
        <v>285</v>
      </c>
      <c r="G64" s="12" t="s">
        <v>19</v>
      </c>
      <c r="H64" s="14">
        <v>0.78</v>
      </c>
      <c r="I64" s="14">
        <v>0.8</v>
      </c>
      <c r="J64" s="14">
        <v>0.85</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4682-86C4-4C73-A81F-FBD78CD74966}">
  <dimension ref="A3:R45"/>
  <sheetViews>
    <sheetView zoomScale="52" zoomScaleNormal="89" workbookViewId="0">
      <selection activeCell="S13" sqref="S13"/>
    </sheetView>
  </sheetViews>
  <sheetFormatPr defaultColWidth="8.796875" defaultRowHeight="15.6" x14ac:dyDescent="0.3"/>
  <cols>
    <col min="1" max="1" width="35.69921875" style="3" bestFit="1" customWidth="1"/>
    <col min="2" max="2" width="8.8984375" style="3" bestFit="1" customWidth="1"/>
    <col min="3" max="3" width="16.19921875" style="3" bestFit="1" customWidth="1"/>
    <col min="4" max="4" width="8.796875" style="3"/>
    <col min="5" max="5" width="25" style="3" customWidth="1"/>
    <col min="6" max="6" width="19" style="3" customWidth="1"/>
    <col min="7" max="7" width="8.796875" style="3"/>
    <col min="8" max="8" width="15.296875" style="3" bestFit="1" customWidth="1"/>
    <col min="9" max="9" width="12.796875" style="3" bestFit="1" customWidth="1"/>
    <col min="10" max="10" width="19.09765625" style="3" bestFit="1" customWidth="1"/>
    <col min="11" max="11" width="17" style="3" bestFit="1" customWidth="1"/>
    <col min="12" max="12" width="15.296875" style="3" bestFit="1" customWidth="1"/>
    <col min="13" max="13" width="17.3984375" style="3" bestFit="1" customWidth="1"/>
    <col min="14" max="14" width="15.59765625" style="3" bestFit="1" customWidth="1"/>
    <col min="15" max="15" width="15.296875" style="3" bestFit="1" customWidth="1"/>
    <col min="16" max="16" width="12.3984375" style="3" bestFit="1" customWidth="1"/>
    <col min="17" max="17" width="11.296875" style="3" bestFit="1" customWidth="1"/>
    <col min="18" max="16384" width="8.796875" style="3"/>
  </cols>
  <sheetData>
    <row r="3" spans="1:18" x14ac:dyDescent="0.3">
      <c r="A3" s="21" t="s">
        <v>32</v>
      </c>
      <c r="B3" s="20"/>
      <c r="C3"/>
      <c r="E3" s="4"/>
      <c r="F3" s="5" t="s">
        <v>20</v>
      </c>
      <c r="H3" s="21" t="s">
        <v>28</v>
      </c>
      <c r="I3" s="19" t="s">
        <v>27</v>
      </c>
      <c r="J3" s="23" t="s">
        <v>39</v>
      </c>
      <c r="K3"/>
      <c r="L3" s="21" t="s">
        <v>28</v>
      </c>
      <c r="M3" s="20" t="s">
        <v>31</v>
      </c>
      <c r="N3"/>
      <c r="O3" s="21" t="s">
        <v>28</v>
      </c>
      <c r="P3" s="20" t="s">
        <v>30</v>
      </c>
      <c r="Q3"/>
      <c r="R3"/>
    </row>
    <row r="4" spans="1:18" x14ac:dyDescent="0.3">
      <c r="A4" s="25" t="s">
        <v>27</v>
      </c>
      <c r="B4" s="28">
        <v>754940.69999999937</v>
      </c>
      <c r="C4"/>
      <c r="E4" s="6" t="s">
        <v>2</v>
      </c>
      <c r="F4" s="8">
        <f>GETPIVOTDATA("Sum of Sales",$A$3)</f>
        <v>754940.69999999937</v>
      </c>
      <c r="H4" s="38">
        <v>44927</v>
      </c>
      <c r="I4" s="33">
        <v>30000</v>
      </c>
      <c r="J4" s="34">
        <v>20000.000000000004</v>
      </c>
      <c r="K4"/>
      <c r="L4" s="25" t="s">
        <v>36</v>
      </c>
      <c r="M4" s="20">
        <v>300</v>
      </c>
      <c r="N4"/>
      <c r="O4" s="25" t="s">
        <v>10</v>
      </c>
      <c r="P4" s="28">
        <v>126081</v>
      </c>
      <c r="Q4"/>
      <c r="R4"/>
    </row>
    <row r="5" spans="1:18" x14ac:dyDescent="0.3">
      <c r="A5" s="26" t="s">
        <v>30</v>
      </c>
      <c r="B5" s="29">
        <v>891111</v>
      </c>
      <c r="C5" s="22"/>
      <c r="E5" s="6" t="s">
        <v>3</v>
      </c>
      <c r="F5" s="8">
        <f>GETPIVOTDATA("Sum of Profit",$A$3)</f>
        <v>891111</v>
      </c>
      <c r="H5" s="39">
        <v>44958</v>
      </c>
      <c r="I5" s="35">
        <v>45000</v>
      </c>
      <c r="J5" s="36">
        <v>10000.000000000002</v>
      </c>
      <c r="K5"/>
      <c r="L5" s="26" t="s">
        <v>37</v>
      </c>
      <c r="M5" s="42">
        <v>310</v>
      </c>
      <c r="N5"/>
      <c r="O5" s="26" t="s">
        <v>12</v>
      </c>
      <c r="P5" s="29">
        <v>129875</v>
      </c>
      <c r="Q5"/>
      <c r="R5"/>
    </row>
    <row r="6" spans="1:18" x14ac:dyDescent="0.3">
      <c r="A6" s="27" t="s">
        <v>31</v>
      </c>
      <c r="B6" s="30">
        <v>9360</v>
      </c>
      <c r="C6"/>
      <c r="E6" s="6" t="s">
        <v>5</v>
      </c>
      <c r="F6" s="9">
        <f>GETPIVOTDATA("Sum of Customers",$A$3)</f>
        <v>9360</v>
      </c>
      <c r="H6" s="39">
        <v>44986</v>
      </c>
      <c r="I6" s="35">
        <v>60000</v>
      </c>
      <c r="J6" s="36">
        <v>10000.000000000002</v>
      </c>
      <c r="K6"/>
      <c r="L6" s="26" t="s">
        <v>38</v>
      </c>
      <c r="M6" s="42">
        <v>300</v>
      </c>
      <c r="N6"/>
      <c r="O6" s="26" t="s">
        <v>13</v>
      </c>
      <c r="P6" s="29">
        <v>126793</v>
      </c>
      <c r="Q6"/>
      <c r="R6"/>
    </row>
    <row r="7" spans="1:18" x14ac:dyDescent="0.3">
      <c r="A7"/>
      <c r="B7"/>
      <c r="C7"/>
      <c r="H7" s="39">
        <v>45017</v>
      </c>
      <c r="I7" s="35">
        <v>54999.999999999993</v>
      </c>
      <c r="J7" s="36">
        <v>40000.000000000007</v>
      </c>
      <c r="K7"/>
      <c r="L7" s="26" t="s">
        <v>40</v>
      </c>
      <c r="M7" s="42">
        <v>700</v>
      </c>
      <c r="N7"/>
      <c r="O7" s="26" t="s">
        <v>14</v>
      </c>
      <c r="P7" s="29">
        <v>128833</v>
      </c>
      <c r="Q7"/>
      <c r="R7"/>
    </row>
    <row r="8" spans="1:18" x14ac:dyDescent="0.3">
      <c r="A8"/>
      <c r="B8"/>
      <c r="C8"/>
      <c r="H8" s="39">
        <v>45047</v>
      </c>
      <c r="I8" s="35">
        <v>80000.000000000015</v>
      </c>
      <c r="J8" s="36">
        <v>20000.000000000004</v>
      </c>
      <c r="K8"/>
      <c r="L8" s="26" t="s">
        <v>41</v>
      </c>
      <c r="M8" s="42">
        <v>650</v>
      </c>
      <c r="N8"/>
      <c r="O8" s="26" t="s">
        <v>15</v>
      </c>
      <c r="P8" s="29">
        <v>125980</v>
      </c>
      <c r="Q8"/>
      <c r="R8"/>
    </row>
    <row r="9" spans="1:18" x14ac:dyDescent="0.3">
      <c r="A9" s="20" t="s">
        <v>33</v>
      </c>
      <c r="B9"/>
      <c r="C9"/>
      <c r="E9" s="6" t="s">
        <v>21</v>
      </c>
      <c r="F9" s="2">
        <f>GETPIVOTDATA("Sales Completion Rate",$A$9)</f>
        <v>0.85555555555555574</v>
      </c>
      <c r="H9" s="39">
        <v>45078</v>
      </c>
      <c r="I9" s="35">
        <v>100000.00000000001</v>
      </c>
      <c r="J9" s="36">
        <v>5999.9999999999991</v>
      </c>
      <c r="K9"/>
      <c r="L9" s="26" t="s">
        <v>42</v>
      </c>
      <c r="M9" s="42">
        <v>1600</v>
      </c>
      <c r="N9"/>
      <c r="O9" s="26" t="s">
        <v>16</v>
      </c>
      <c r="P9" s="29">
        <v>126209</v>
      </c>
      <c r="Q9"/>
      <c r="R9"/>
    </row>
    <row r="10" spans="1:18" x14ac:dyDescent="0.3">
      <c r="A10" s="31">
        <v>0.85555555555555574</v>
      </c>
      <c r="B10"/>
      <c r="C10"/>
      <c r="E10" s="6" t="s">
        <v>22</v>
      </c>
      <c r="F10" s="2">
        <v>0.14000000000000001</v>
      </c>
      <c r="H10" s="39">
        <v>45108</v>
      </c>
      <c r="I10" s="35">
        <v>129940.69999999998</v>
      </c>
      <c r="J10" s="36">
        <v>5000.0000000000009</v>
      </c>
      <c r="K10"/>
      <c r="L10" s="26" t="s">
        <v>43</v>
      </c>
      <c r="M10" s="42">
        <v>1800</v>
      </c>
      <c r="N10"/>
      <c r="O10" s="26" t="s">
        <v>17</v>
      </c>
      <c r="P10" s="29">
        <v>127340</v>
      </c>
      <c r="Q10"/>
      <c r="R10"/>
    </row>
    <row r="11" spans="1:18" x14ac:dyDescent="0.3">
      <c r="A11"/>
      <c r="B11"/>
      <c r="C11"/>
      <c r="F11" s="7"/>
      <c r="H11" s="39">
        <v>45139</v>
      </c>
      <c r="I11" s="35">
        <v>130000.00000000003</v>
      </c>
      <c r="J11" s="36">
        <v>5000.0000000000009</v>
      </c>
      <c r="K11"/>
      <c r="L11" s="26" t="s">
        <v>44</v>
      </c>
      <c r="M11" s="42">
        <v>1700</v>
      </c>
      <c r="N11"/>
      <c r="O11" s="32" t="s">
        <v>29</v>
      </c>
      <c r="P11" s="41">
        <v>891111</v>
      </c>
      <c r="Q11"/>
      <c r="R11"/>
    </row>
    <row r="12" spans="1:18" x14ac:dyDescent="0.3">
      <c r="A12" s="20" t="s">
        <v>34</v>
      </c>
      <c r="B12"/>
      <c r="C12"/>
      <c r="E12" s="6" t="s">
        <v>23</v>
      </c>
      <c r="F12" s="2">
        <f>GETPIVOTDATA("Profit Completion Rate",$A$12)</f>
        <v>0.85492063492063519</v>
      </c>
      <c r="H12" s="39">
        <v>45170</v>
      </c>
      <c r="I12" s="35">
        <v>125000</v>
      </c>
      <c r="J12" s="36">
        <v>2000.0000000000002</v>
      </c>
      <c r="K12"/>
      <c r="L12" s="26" t="s">
        <v>45</v>
      </c>
      <c r="M12" s="42">
        <v>2000</v>
      </c>
      <c r="N12"/>
      <c r="O12"/>
      <c r="P12"/>
      <c r="Q12"/>
      <c r="R12"/>
    </row>
    <row r="13" spans="1:18" x14ac:dyDescent="0.3">
      <c r="A13" s="31">
        <v>0.85492063492063519</v>
      </c>
      <c r="B13"/>
      <c r="C13"/>
      <c r="E13" s="6" t="s">
        <v>24</v>
      </c>
      <c r="F13" s="2">
        <f>15%</f>
        <v>0.15</v>
      </c>
      <c r="H13" s="40" t="s">
        <v>29</v>
      </c>
      <c r="I13" s="24">
        <v>754940.7</v>
      </c>
      <c r="J13" s="37">
        <v>118000.00000000001</v>
      </c>
      <c r="K13"/>
      <c r="L13" s="32" t="s">
        <v>29</v>
      </c>
      <c r="M13" s="22">
        <v>9360</v>
      </c>
      <c r="N13"/>
      <c r="O13"/>
      <c r="P13"/>
      <c r="Q13"/>
      <c r="R13"/>
    </row>
    <row r="14" spans="1:18" x14ac:dyDescent="0.3">
      <c r="A14"/>
      <c r="B14"/>
      <c r="C14"/>
      <c r="F14" s="7"/>
      <c r="H14"/>
      <c r="I14"/>
      <c r="J14"/>
      <c r="K14"/>
      <c r="L14"/>
      <c r="M14"/>
      <c r="N14"/>
      <c r="O14"/>
      <c r="P14"/>
      <c r="Q14"/>
      <c r="R14"/>
    </row>
    <row r="15" spans="1:18" x14ac:dyDescent="0.3">
      <c r="A15" s="20" t="s">
        <v>35</v>
      </c>
      <c r="B15"/>
      <c r="C15"/>
      <c r="E15" s="6" t="s">
        <v>25</v>
      </c>
      <c r="F15" s="2">
        <f>GETPIVOTDATA("Customer Completion Rate",$A$15)</f>
        <v>0.8447619047619046</v>
      </c>
      <c r="H15"/>
      <c r="I15"/>
      <c r="J15"/>
      <c r="K15"/>
      <c r="L15"/>
      <c r="M15"/>
      <c r="N15"/>
      <c r="O15"/>
      <c r="P15"/>
      <c r="Q15"/>
      <c r="R15"/>
    </row>
    <row r="16" spans="1:18" x14ac:dyDescent="0.3">
      <c r="A16" s="31">
        <v>0.8447619047619046</v>
      </c>
      <c r="B16"/>
      <c r="C16"/>
      <c r="E16" s="6" t="s">
        <v>26</v>
      </c>
      <c r="F16" s="2">
        <f>16%</f>
        <v>0.16</v>
      </c>
      <c r="H16"/>
      <c r="I16"/>
      <c r="J16"/>
      <c r="K16"/>
      <c r="L16"/>
      <c r="M16"/>
      <c r="N16"/>
      <c r="O16"/>
      <c r="P16"/>
      <c r="Q16"/>
      <c r="R16"/>
    </row>
    <row r="17" spans="1:18" x14ac:dyDescent="0.3">
      <c r="A17"/>
      <c r="B17"/>
      <c r="C17"/>
      <c r="H17"/>
      <c r="I17"/>
      <c r="J17"/>
      <c r="K17"/>
      <c r="L17"/>
      <c r="M17"/>
      <c r="N17"/>
      <c r="O17"/>
      <c r="P17"/>
      <c r="Q17"/>
      <c r="R17"/>
    </row>
    <row r="18" spans="1:18" x14ac:dyDescent="0.3">
      <c r="A18"/>
      <c r="B18"/>
      <c r="C18"/>
      <c r="H18"/>
      <c r="I18"/>
      <c r="J18"/>
      <c r="K18"/>
      <c r="L18"/>
      <c r="M18"/>
      <c r="N18"/>
      <c r="O18"/>
      <c r="P18"/>
      <c r="Q18"/>
      <c r="R18"/>
    </row>
    <row r="19" spans="1:18" x14ac:dyDescent="0.3">
      <c r="A19"/>
      <c r="B19"/>
      <c r="C19"/>
      <c r="H19"/>
      <c r="I19"/>
      <c r="J19"/>
      <c r="K19"/>
      <c r="L19"/>
      <c r="M19"/>
      <c r="N19"/>
      <c r="O19"/>
      <c r="P19"/>
      <c r="Q19"/>
      <c r="R19"/>
    </row>
    <row r="20" spans="1:18" x14ac:dyDescent="0.3">
      <c r="A20"/>
      <c r="B20"/>
      <c r="C20"/>
      <c r="H20"/>
      <c r="I20"/>
      <c r="J20"/>
      <c r="K20"/>
      <c r="L20"/>
      <c r="M20"/>
      <c r="N20"/>
      <c r="O20"/>
      <c r="P20"/>
      <c r="Q20"/>
      <c r="R20"/>
    </row>
    <row r="21" spans="1:18" x14ac:dyDescent="0.3">
      <c r="A21"/>
      <c r="B21"/>
      <c r="C21"/>
      <c r="I21"/>
      <c r="M21"/>
    </row>
    <row r="22" spans="1:18" x14ac:dyDescent="0.3">
      <c r="A22"/>
      <c r="B22"/>
      <c r="C22"/>
      <c r="I22"/>
      <c r="M22"/>
    </row>
    <row r="23" spans="1:18" x14ac:dyDescent="0.3">
      <c r="A23"/>
      <c r="B23"/>
      <c r="C23"/>
    </row>
    <row r="24" spans="1:18" x14ac:dyDescent="0.3">
      <c r="A24"/>
      <c r="B24"/>
      <c r="C24"/>
    </row>
    <row r="25" spans="1:18" x14ac:dyDescent="0.3">
      <c r="A25"/>
      <c r="B25"/>
      <c r="C25"/>
    </row>
    <row r="26" spans="1:18" x14ac:dyDescent="0.3">
      <c r="A26"/>
      <c r="B26"/>
      <c r="C26"/>
    </row>
    <row r="27" spans="1:18" x14ac:dyDescent="0.3">
      <c r="A27"/>
      <c r="B27"/>
      <c r="C27"/>
    </row>
    <row r="28" spans="1:18" x14ac:dyDescent="0.3">
      <c r="A28"/>
      <c r="B28"/>
      <c r="C28"/>
    </row>
    <row r="29" spans="1:18" x14ac:dyDescent="0.3">
      <c r="A29"/>
      <c r="B29"/>
      <c r="C29"/>
    </row>
    <row r="30" spans="1:18" x14ac:dyDescent="0.3">
      <c r="A30"/>
      <c r="B30"/>
      <c r="C30"/>
    </row>
    <row r="31" spans="1:18" x14ac:dyDescent="0.3">
      <c r="A31"/>
      <c r="B31"/>
      <c r="C31"/>
    </row>
    <row r="32" spans="1:18" x14ac:dyDescent="0.3">
      <c r="A32"/>
      <c r="B32"/>
      <c r="C32"/>
    </row>
    <row r="33" spans="1:3" x14ac:dyDescent="0.3">
      <c r="A33"/>
      <c r="B33"/>
      <c r="C33"/>
    </row>
    <row r="34" spans="1:3" x14ac:dyDescent="0.3">
      <c r="A34"/>
      <c r="B34"/>
      <c r="C34"/>
    </row>
    <row r="35" spans="1:3" x14ac:dyDescent="0.3">
      <c r="A35"/>
      <c r="B35"/>
      <c r="C35"/>
    </row>
    <row r="36" spans="1:3" x14ac:dyDescent="0.3">
      <c r="A36"/>
      <c r="B36"/>
      <c r="C36"/>
    </row>
    <row r="37" spans="1:3" x14ac:dyDescent="0.3">
      <c r="A37"/>
      <c r="B37"/>
      <c r="C37"/>
    </row>
    <row r="38" spans="1:3" x14ac:dyDescent="0.3">
      <c r="A38"/>
      <c r="B38"/>
      <c r="C38"/>
    </row>
    <row r="39" spans="1:3" x14ac:dyDescent="0.3">
      <c r="A39"/>
      <c r="B39"/>
      <c r="C39"/>
    </row>
    <row r="40" spans="1:3" x14ac:dyDescent="0.3">
      <c r="A40"/>
      <c r="B40"/>
      <c r="C40"/>
    </row>
    <row r="41" spans="1:3" x14ac:dyDescent="0.3">
      <c r="A41"/>
      <c r="B41"/>
      <c r="C41"/>
    </row>
    <row r="42" spans="1:3" x14ac:dyDescent="0.3">
      <c r="A42"/>
      <c r="B42"/>
      <c r="C42"/>
    </row>
    <row r="43" spans="1:3" x14ac:dyDescent="0.3">
      <c r="A43"/>
      <c r="B43"/>
      <c r="C43"/>
    </row>
    <row r="44" spans="1:3" x14ac:dyDescent="0.3">
      <c r="A44"/>
      <c r="B44"/>
      <c r="C44"/>
    </row>
    <row r="45" spans="1:3" x14ac:dyDescent="0.3">
      <c r="A45"/>
      <c r="B45"/>
      <c r="C45"/>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096B9-13E9-4C19-B053-C667BD033BEA}">
  <dimension ref="A1"/>
  <sheetViews>
    <sheetView showGridLines="0" tabSelected="1" zoomScale="59" workbookViewId="0">
      <selection activeCell="AQ28" sqref="AQ28"/>
    </sheetView>
  </sheetViews>
  <sheetFormatPr defaultRowHeight="15.6" x14ac:dyDescent="0.3"/>
  <cols>
    <col min="1" max="16384" width="8.796875" style="4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REAL DATA</vt:lpstr>
      <vt:lpstr>Sheet1</vt:lpstr>
      <vt:lpstr>_xlcn.WorksheetConnection_deliveries.csvA1N180791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2025-08-07T06:57:09Z</dcterms:created>
  <dcterms:modified xsi:type="dcterms:W3CDTF">2026-09-28T15:50:22Z</dcterms:modified>
</cp:coreProperties>
</file>